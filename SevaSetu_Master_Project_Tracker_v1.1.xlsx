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66925"/>
  <xr:revisionPtr revIDLastSave="0" documentId="13_ncr:1_{7F6ACE97-726B-4AC9-9F83-57CF3BA2EB25}" xr6:coauthVersionLast="47" xr6:coauthVersionMax="47" xr10:uidLastSave="{00000000-0000-0000-0000-000000000000}"/>
  <bookViews>
    <workbookView xWindow="-120" yWindow="-120" windowWidth="29040" windowHeight="15720" firstSheet="1" activeTab="7" xr2:uid="{00000000-000D-0000-FFFF-FFFF00000000}"/>
  </bookViews>
  <sheets>
    <sheet name="Dashboard Summary" sheetId="1" r:id="rId1"/>
    <sheet name="Detailed Tracker" sheetId="2" r:id="rId2"/>
    <sheet name="Milestones" sheetId="3" r:id="rId3"/>
    <sheet name="Change Log" sheetId="4" r:id="rId4"/>
    <sheet name="Next SprintPriority,Task,Owner," sheetId="5" r:id="rId5"/>
    <sheet name="Auto Summary" sheetId="6" r:id="rId6"/>
    <sheet name="Bug_Issue Tracker" sheetId="7" r:id="rId7"/>
    <sheet name="Bug_Issue_Tracker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0" i="8" l="1"/>
  <c r="M10" i="8"/>
  <c r="N9" i="8"/>
  <c r="M9" i="8"/>
  <c r="N8" i="8"/>
  <c r="M8" i="8"/>
  <c r="N7" i="8"/>
  <c r="M7" i="8"/>
  <c r="N6" i="8"/>
  <c r="M6" i="8"/>
  <c r="N5" i="8"/>
  <c r="M5" i="8"/>
  <c r="N4" i="8"/>
  <c r="M4" i="8"/>
  <c r="N3" i="8"/>
  <c r="M3" i="8"/>
  <c r="N2" i="8"/>
  <c r="M2" i="8"/>
  <c r="B9" i="6"/>
  <c r="B8" i="6"/>
  <c r="B7" i="6"/>
  <c r="D9" i="1"/>
  <c r="C9" i="1"/>
  <c r="B9" i="1"/>
  <c r="E9" i="1" s="1"/>
  <c r="D8" i="1"/>
  <c r="C8" i="1"/>
  <c r="B8" i="1"/>
  <c r="B10" i="6" l="1"/>
</calcChain>
</file>

<file path=xl/sharedStrings.xml><?xml version="1.0" encoding="utf-8"?>
<sst xmlns="http://schemas.openxmlformats.org/spreadsheetml/2006/main" count="269" uniqueCount="172">
  <si>
    <t>Module</t>
  </si>
  <si>
    <t>Total Tasks</t>
  </si>
  <si>
    <t>Completed</t>
  </si>
  <si>
    <t>Pending</t>
  </si>
  <si>
    <t>% Complete</t>
  </si>
  <si>
    <t>Status</t>
  </si>
  <si>
    <t>Next Milestone</t>
  </si>
  <si>
    <t>Customer</t>
  </si>
  <si>
    <t>=IF(B2=0</t>
  </si>
  <si>
    <t>ROUND(C2/B2*100</t>
  </si>
  <si>
    <t>0))</t>
  </si>
  <si>
    <t>In Progress</t>
  </si>
  <si>
    <t>Booking Flow UI (Nov 2)</t>
  </si>
  <si>
    <t>Service Provider</t>
  </si>
  <si>
    <t>=IF(B3=0</t>
  </si>
  <si>
    <t>ROUND(C3/B3*100</t>
  </si>
  <si>
    <t>Registration (Nov 3)</t>
  </si>
  <si>
    <t>Admin / Ops</t>
  </si>
  <si>
    <t>=IF(B4=0</t>
  </si>
  <si>
    <t>ROUND(C4/B4*100</t>
  </si>
  <si>
    <t>Good</t>
  </si>
  <si>
    <t>Reports UI (Nov 2)</t>
  </si>
  <si>
    <t>Costing</t>
  </si>
  <si>
    <t>=IF(B5=0</t>
  </si>
  <si>
    <t>ROUND(C5/B5*100</t>
  </si>
  <si>
    <t>Low Progress</t>
  </si>
  <si>
    <t>Pricing Logic (Nov 4)</t>
  </si>
  <si>
    <t>Reports &amp; Analytics</t>
  </si>
  <si>
    <t>=IF(B6=0</t>
  </si>
  <si>
    <t>ROUND(C6/B6*100</t>
  </si>
  <si>
    <t>Analytics (Nov 5)</t>
  </si>
  <si>
    <t>Backend / Infra</t>
  </si>
  <si>
    <t>=IF(B7=0</t>
  </si>
  <si>
    <t>ROUND(C7/B7*100</t>
  </si>
  <si>
    <t>Stable</t>
  </si>
  <si>
    <t>Vercel Integration (Nov 1)</t>
  </si>
  <si>
    <t>TOTAL</t>
  </si>
  <si>
    <t>=IF(B8=0</t>
  </si>
  <si>
    <t>ROUND(C8/B8*100</t>
  </si>
  <si>
    <t>Bug_Issue_Tracker</t>
  </si>
  <si>
    <t>Monitoring</t>
  </si>
  <si>
    <t>Daily Review</t>
  </si>
  <si>
    <t>Date,Change,Description,By,Status</t>
  </si>
  <si>
    <t>2025-10-30,Firebase Hosting,Production Deployed,Akhsey,Done</t>
  </si>
  <si>
    <t>2025-10-31,Feedback UI,Thank-You Animation Added,Akhsey,Done</t>
  </si>
  <si>
    <t>2025-10-31,OTP Widget,Production Success,Akhsey,Done</t>
  </si>
  <si>
    <t>2025-11-01,Tracker Setup,Master Tracker Created,Akhsey,Planned</t>
  </si>
  <si>
    <t>Priority,Task,Owner,Planned Date,Status</t>
  </si>
  <si>
    <t>High,reCAPTCHA Invisible Fix,Akhsey,2025-11-01,Planned</t>
  </si>
  <si>
    <t>High,GitHub &amp; Vercel Sync,Akhsey,2025-11-01,Planned</t>
  </si>
  <si>
    <t>Medium,Booking Flow UI,Akhsey,2025-11-02,Planned</t>
  </si>
  <si>
    <t>Medium,Provider Registration,Akhsey,2025-11-03,Planned</t>
  </si>
  <si>
    <t>Medium,Costing Model Integration,Akhsey,2025-11-04,Planned</t>
  </si>
  <si>
    <t>Metric,Value</t>
  </si>
  <si>
    <t>Total Tasks,=SUM('Dashboard Summary'!B2:B7)</t>
  </si>
  <si>
    <t>Completed,=SUM('Dashboard Summary'!C2:C7)</t>
  </si>
  <si>
    <t>Overall %,=IF(B1=0,0,ROUND(B2/B1*100,0))</t>
  </si>
  <si>
    <t>Active Modules,=COUNTA('Dashboard Summary'!A2:A7)</t>
  </si>
  <si>
    <t>Next Milestone,=INDEX('Dashboard Summary'!G2:G7,MATCH(MIN('Dashboard Summary'!C2:C7),'Dashboard Summary'!C2:C7,0))</t>
  </si>
  <si>
    <t>Total Bugs</t>
  </si>
  <si>
    <t>Open Bugs</t>
  </si>
  <si>
    <t>Resolved Bugs</t>
  </si>
  <si>
    <t>Overdue Bugs</t>
  </si>
  <si>
    <t>ID</t>
  </si>
  <si>
    <t>Reported By</t>
  </si>
  <si>
    <t>Date Reported</t>
  </si>
  <si>
    <t>Severity</t>
  </si>
  <si>
    <t>Issue Title</t>
  </si>
  <si>
    <t>Description</t>
  </si>
  <si>
    <t>Owner</t>
  </si>
  <si>
    <t>Target Fix Date</t>
  </si>
  <si>
    <t>Date Resolved</t>
  </si>
  <si>
    <t>Resolution Notes</t>
  </si>
  <si>
    <t>Days Open</t>
  </si>
  <si>
    <t>Overdue</t>
  </si>
  <si>
    <t>B001</t>
  </si>
  <si>
    <t>Akhsey</t>
  </si>
  <si>
    <t>2025-10-31</t>
  </si>
  <si>
    <t>High</t>
  </si>
  <si>
    <t>OTP Verification Loop</t>
  </si>
  <si>
    <t>OTP not verifying properly in dev environment</t>
  </si>
  <si>
    <t>Resolved</t>
  </si>
  <si>
    <t>Dev Team</t>
  </si>
  <si>
    <t>ReCaptcha reinit fixed</t>
  </si>
  <si>
    <t>B002</t>
  </si>
  <si>
    <t>Feedback</t>
  </si>
  <si>
    <t>Medium</t>
  </si>
  <si>
    <t>Feedback Form Alignment</t>
  </si>
  <si>
    <t>Fields misaligned after animation update</t>
  </si>
  <si>
    <t>UI Team</t>
  </si>
  <si>
    <t>CSS grid adjusted</t>
  </si>
  <si>
    <t>B003</t>
  </si>
  <si>
    <t>Admin</t>
  </si>
  <si>
    <t>2025-11-01</t>
  </si>
  <si>
    <t>Low</t>
  </si>
  <si>
    <t>Report Table Pagination</t>
  </si>
  <si>
    <t>Admin table shows only 10 rows</t>
  </si>
  <si>
    <t>Open</t>
  </si>
  <si>
    <t>2025-11-02</t>
  </si>
  <si>
    <t/>
  </si>
  <si>
    <t>Pending pagination logic</t>
  </si>
  <si>
    <t>Task</t>
  </si>
  <si>
    <t>Start Date</t>
  </si>
  <si>
    <t>Target Date</t>
  </si>
  <si>
    <t>Notes</t>
  </si>
  <si>
    <t>C1</t>
  </si>
  <si>
    <t>Home Page</t>
  </si>
  <si>
    <t>Service Discovery UI</t>
  </si>
  <si>
    <t>Done</t>
  </si>
  <si>
    <t>Verified</t>
  </si>
  <si>
    <t>C3</t>
  </si>
  <si>
    <t>Booking Flow</t>
  </si>
  <si>
    <t>Select + Schedule Service</t>
  </si>
  <si>
    <t>Planned</t>
  </si>
  <si>
    <t>Design Pending</t>
  </si>
  <si>
    <t>SP1</t>
  </si>
  <si>
    <t>Provider</t>
  </si>
  <si>
    <t>Registration / KYC</t>
  </si>
  <si>
    <t>Provider Sign-Up + Docs</t>
  </si>
  <si>
    <t>A4</t>
  </si>
  <si>
    <t>Dashboard Reports</t>
  </si>
  <si>
    <t>Graphs + Data for Admin</t>
  </si>
  <si>
    <t>Partial</t>
  </si>
  <si>
    <t>Firestore Linkage</t>
  </si>
  <si>
    <t>COST1</t>
  </si>
  <si>
    <t>Dynamic Pricing</t>
  </si>
  <si>
    <t>Variable Pricing Per City</t>
  </si>
  <si>
    <t>R2</t>
  </si>
  <si>
    <t>Provider Ratings</t>
  </si>
  <si>
    <t>Ratings Summary Per Provider</t>
  </si>
  <si>
    <t>Milestone</t>
  </si>
  <si>
    <t>Dependencies</t>
  </si>
  <si>
    <t>MVP Alpha Launch</t>
  </si>
  <si>
    <t>OTP + Waitlist Live</t>
  </si>
  <si>
    <t>Firebase Auth</t>
  </si>
  <si>
    <t>Feedback Flow</t>
  </si>
  <si>
    <t>Rating + Thank You Page</t>
  </si>
  <si>
    <t>Feedback DB</t>
  </si>
  <si>
    <t>reCAPTCHA Invisible</t>
  </si>
  <si>
    <t>Hide Visible Widget</t>
  </si>
  <si>
    <t>LaunchingSoonWidget</t>
  </si>
  <si>
    <t>GitHub + Vercel Sync</t>
  </si>
  <si>
    <t>Connect Repos &amp; CI</t>
  </si>
  <si>
    <t>GitHub</t>
  </si>
  <si>
    <t>=IF(K2=""</t>
  </si>
  <si>
    <t>TODAY()-D2</t>
  </si>
  <si>
    <t>K2-D2)</t>
  </si>
  <si>
    <t>=IF(AND(K2=""</t>
  </si>
  <si>
    <t>J2&lt;TODAY())</t>
  </si>
  <si>
    <t>⚠️ Yes</t>
  </si>
  <si>
    <t>No)</t>
  </si>
  <si>
    <t>Fields not aligned after animation update</t>
  </si>
  <si>
    <t>=IF(K3=""</t>
  </si>
  <si>
    <t>TODAY()-D3</t>
  </si>
  <si>
    <t>K3-D3)</t>
  </si>
  <si>
    <t>=IF(AND(K3=""</t>
  </si>
  <si>
    <t>J3&lt;TODAY())</t>
  </si>
  <si>
    <t>=IF(K4=""</t>
  </si>
  <si>
    <t>TODAY()-D4</t>
  </si>
  <si>
    <t>K4-D4)</t>
  </si>
  <si>
    <t>=IF(AND(K4=""</t>
  </si>
  <si>
    <t>J4&lt;TODAY())</t>
  </si>
  <si>
    <t>B004</t>
  </si>
  <si>
    <t>Provider Registration Crash</t>
  </si>
  <si>
    <t>Error on submit after KYC upload</t>
  </si>
  <si>
    <t>Backend</t>
  </si>
  <si>
    <t>Investigating storage limits</t>
  </si>
  <si>
    <t>=IF(K5=""</t>
  </si>
  <si>
    <t>TODAY()-D5</t>
  </si>
  <si>
    <t>K5-D5)</t>
  </si>
  <si>
    <t>=IF(AND(K5=""</t>
  </si>
  <si>
    <t>J5&lt;TODAY())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</si>
</sst>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4080"/>
      </patternFill>
    </fill>
    <fill>
      <patternFill patternType="solid">
        <fgColor rgb="FFFF9999"/>
      </patternFill>
    </fill>
    <fill>
      <patternFill patternType="solid">
        <fgColor rgb="FFB6D7A8"/>
      </patternFill>
    </fill>
    <fill>
      <patternFill patternType="solid">
        <fgColor rgb="FFFFFF99"/>
      </patternFill>
    </fill>
    <fill>
      <patternFill patternType="solid">
        <fgColor rgb="FFCCFFCC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zoomScaleNormal="100" workbookViewId="0">
      <selection activeCell="E2" sqref="E2"/>
    </sheetView>
  </sheetViews>
  <sheetFormatPr defaultRowHeight="15" x14ac:dyDescent="0.25"/>
  <cols>
    <col min="1" max="1" width="18.42578125" customWidth="1"/>
    <col min="6" max="6" width="10.85546875" bestFit="1" customWidth="1"/>
    <col min="7" max="7" width="17.7109375" bestFit="1" customWidth="1"/>
    <col min="8" max="8" width="23.140625" customWidth="1"/>
    <col min="9" max="9" width="12.5703125" customWidth="1"/>
    <col min="10" max="10" width="24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x14ac:dyDescent="0.25">
      <c r="A2" t="s">
        <v>7</v>
      </c>
      <c r="B2">
        <v>10</v>
      </c>
      <c r="C2">
        <v>4</v>
      </c>
      <c r="D2">
        <v>6</v>
      </c>
      <c r="E2" t="s">
        <v>8</v>
      </c>
      <c r="F2">
        <v>0</v>
      </c>
      <c r="G2" t="s">
        <v>9</v>
      </c>
      <c r="H2" t="s">
        <v>10</v>
      </c>
      <c r="I2" t="s">
        <v>11</v>
      </c>
      <c r="J2" t="s">
        <v>12</v>
      </c>
    </row>
    <row r="3" spans="1:10" x14ac:dyDescent="0.25">
      <c r="A3" t="s">
        <v>13</v>
      </c>
      <c r="B3">
        <v>8</v>
      </c>
      <c r="C3">
        <v>3</v>
      </c>
      <c r="D3">
        <v>5</v>
      </c>
      <c r="E3" t="s">
        <v>14</v>
      </c>
      <c r="F3">
        <v>0</v>
      </c>
      <c r="G3" t="s">
        <v>15</v>
      </c>
      <c r="H3" t="s">
        <v>10</v>
      </c>
      <c r="I3" t="s">
        <v>11</v>
      </c>
      <c r="J3" t="s">
        <v>16</v>
      </c>
    </row>
    <row r="4" spans="1:10" x14ac:dyDescent="0.25">
      <c r="A4" t="s">
        <v>17</v>
      </c>
      <c r="B4">
        <v>9</v>
      </c>
      <c r="C4">
        <v>5</v>
      </c>
      <c r="D4">
        <v>4</v>
      </c>
      <c r="E4" t="s">
        <v>18</v>
      </c>
      <c r="F4">
        <v>0</v>
      </c>
      <c r="G4" t="s">
        <v>19</v>
      </c>
      <c r="H4" t="s">
        <v>10</v>
      </c>
      <c r="I4" t="s">
        <v>20</v>
      </c>
      <c r="J4" t="s">
        <v>21</v>
      </c>
    </row>
    <row r="5" spans="1:10" x14ac:dyDescent="0.25">
      <c r="A5" t="s">
        <v>22</v>
      </c>
      <c r="B5">
        <v>6</v>
      </c>
      <c r="C5">
        <v>1</v>
      </c>
      <c r="D5">
        <v>5</v>
      </c>
      <c r="E5" t="s">
        <v>23</v>
      </c>
      <c r="F5">
        <v>0</v>
      </c>
      <c r="G5" t="s">
        <v>24</v>
      </c>
      <c r="H5" t="s">
        <v>10</v>
      </c>
      <c r="I5" t="s">
        <v>25</v>
      </c>
      <c r="J5" t="s">
        <v>26</v>
      </c>
    </row>
    <row r="6" spans="1:10" x14ac:dyDescent="0.25">
      <c r="A6" t="s">
        <v>27</v>
      </c>
      <c r="B6">
        <v>6</v>
      </c>
      <c r="C6">
        <v>1</v>
      </c>
      <c r="D6">
        <v>5</v>
      </c>
      <c r="E6" t="s">
        <v>28</v>
      </c>
      <c r="F6">
        <v>0</v>
      </c>
      <c r="G6" t="s">
        <v>29</v>
      </c>
      <c r="H6" t="s">
        <v>10</v>
      </c>
      <c r="I6" t="s">
        <v>25</v>
      </c>
      <c r="J6" t="s">
        <v>30</v>
      </c>
    </row>
    <row r="7" spans="1:10" x14ac:dyDescent="0.25">
      <c r="A7" t="s">
        <v>31</v>
      </c>
      <c r="B7">
        <v>8</v>
      </c>
      <c r="C7">
        <v>5</v>
      </c>
      <c r="D7">
        <v>3</v>
      </c>
      <c r="E7" t="s">
        <v>32</v>
      </c>
      <c r="F7">
        <v>0</v>
      </c>
      <c r="G7" t="s">
        <v>33</v>
      </c>
      <c r="H7" t="s">
        <v>10</v>
      </c>
      <c r="I7" t="s">
        <v>34</v>
      </c>
      <c r="J7" t="s">
        <v>35</v>
      </c>
    </row>
    <row r="8" spans="1:10" x14ac:dyDescent="0.25">
      <c r="A8" t="s">
        <v>36</v>
      </c>
      <c r="B8">
        <f>SUM(B2:B7)</f>
        <v>47</v>
      </c>
      <c r="C8">
        <f>SUM(C2:C7)</f>
        <v>19</v>
      </c>
      <c r="D8">
        <f>SUM(D2:D7)</f>
        <v>28</v>
      </c>
      <c r="E8" t="s">
        <v>37</v>
      </c>
      <c r="F8">
        <v>0</v>
      </c>
      <c r="G8" t="s">
        <v>38</v>
      </c>
      <c r="H8" t="s">
        <v>10</v>
      </c>
    </row>
    <row r="9" spans="1:10" x14ac:dyDescent="0.25">
      <c r="A9" t="s">
        <v>39</v>
      </c>
      <c r="B9">
        <f>COUNTA(Bug_Issue_Tracker!A2:A100)</f>
        <v>3</v>
      </c>
      <c r="C9">
        <f>COUNTIF(Bug_Issue_Tracker!H2:H100,"Resolved")</f>
        <v>2</v>
      </c>
      <c r="D9">
        <f>COUNTIF(Bug_Issue_Tracker!H2:H100,"Open")</f>
        <v>1</v>
      </c>
      <c r="E9">
        <f>IF(B9=0,0,ROUND(C9/B9*100,0))</f>
        <v>67</v>
      </c>
      <c r="F9" t="s">
        <v>40</v>
      </c>
      <c r="G9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zoomScaleNormal="100" workbookViewId="0">
      <selection activeCell="D15" sqref="D15"/>
    </sheetView>
  </sheetViews>
  <sheetFormatPr defaultRowHeight="15" x14ac:dyDescent="0.25"/>
  <cols>
    <col min="1" max="1" width="6.5703125" bestFit="1" customWidth="1"/>
    <col min="2" max="2" width="18.42578125" bestFit="1" customWidth="1"/>
    <col min="3" max="3" width="18" bestFit="1" customWidth="1"/>
    <col min="4" max="4" width="28.140625" bestFit="1" customWidth="1"/>
    <col min="5" max="5" width="7.42578125" bestFit="1" customWidth="1"/>
    <col min="6" max="6" width="10.7109375" bestFit="1" customWidth="1"/>
    <col min="7" max="7" width="11.140625" bestFit="1" customWidth="1"/>
    <col min="8" max="8" width="11.7109375" bestFit="1" customWidth="1"/>
    <col min="9" max="9" width="8.28515625" bestFit="1" customWidth="1"/>
    <col min="10" max="10" width="16.28515625" bestFit="1" customWidth="1"/>
  </cols>
  <sheetData>
    <row r="1" spans="1:10" x14ac:dyDescent="0.25">
      <c r="A1" t="s">
        <v>63</v>
      </c>
      <c r="B1" t="s">
        <v>0</v>
      </c>
      <c r="C1" t="s">
        <v>101</v>
      </c>
      <c r="D1" t="s">
        <v>68</v>
      </c>
      <c r="E1" t="s">
        <v>69</v>
      </c>
      <c r="F1" t="s">
        <v>102</v>
      </c>
      <c r="G1" t="s">
        <v>103</v>
      </c>
      <c r="H1" t="s">
        <v>4</v>
      </c>
      <c r="I1" t="s">
        <v>5</v>
      </c>
      <c r="J1" t="s">
        <v>104</v>
      </c>
    </row>
    <row r="2" spans="1:10" x14ac:dyDescent="0.25">
      <c r="A2" t="s">
        <v>105</v>
      </c>
      <c r="B2" t="s">
        <v>7</v>
      </c>
      <c r="C2" t="s">
        <v>106</v>
      </c>
      <c r="D2" t="s">
        <v>107</v>
      </c>
      <c r="E2" t="s">
        <v>76</v>
      </c>
      <c r="F2" s="7">
        <v>45958</v>
      </c>
      <c r="G2" s="7">
        <v>45959</v>
      </c>
      <c r="H2">
        <v>100</v>
      </c>
      <c r="I2" t="s">
        <v>108</v>
      </c>
      <c r="J2" t="s">
        <v>109</v>
      </c>
    </row>
    <row r="3" spans="1:10" x14ac:dyDescent="0.25">
      <c r="A3" t="s">
        <v>110</v>
      </c>
      <c r="B3" t="s">
        <v>7</v>
      </c>
      <c r="C3" t="s">
        <v>111</v>
      </c>
      <c r="D3" t="s">
        <v>112</v>
      </c>
      <c r="E3" t="s">
        <v>76</v>
      </c>
      <c r="F3" s="7">
        <v>45963</v>
      </c>
      <c r="G3" s="7">
        <v>45964</v>
      </c>
      <c r="H3">
        <v>0</v>
      </c>
      <c r="I3" t="s">
        <v>113</v>
      </c>
      <c r="J3" t="s">
        <v>114</v>
      </c>
    </row>
    <row r="4" spans="1:10" x14ac:dyDescent="0.25">
      <c r="A4" t="s">
        <v>115</v>
      </c>
      <c r="B4" t="s">
        <v>116</v>
      </c>
      <c r="C4" t="s">
        <v>117</v>
      </c>
      <c r="D4" t="s">
        <v>118</v>
      </c>
      <c r="E4" t="s">
        <v>76</v>
      </c>
      <c r="F4" s="7">
        <v>45964</v>
      </c>
      <c r="G4" s="7">
        <v>45965</v>
      </c>
      <c r="H4">
        <v>0</v>
      </c>
      <c r="I4" t="s">
        <v>113</v>
      </c>
    </row>
    <row r="5" spans="1:10" x14ac:dyDescent="0.25">
      <c r="A5" t="s">
        <v>119</v>
      </c>
      <c r="B5" t="s">
        <v>17</v>
      </c>
      <c r="C5" t="s">
        <v>120</v>
      </c>
      <c r="D5" t="s">
        <v>121</v>
      </c>
      <c r="E5" t="s">
        <v>76</v>
      </c>
      <c r="F5" s="7">
        <v>45965</v>
      </c>
      <c r="G5" s="7">
        <v>45966</v>
      </c>
      <c r="H5">
        <v>50</v>
      </c>
      <c r="I5" t="s">
        <v>122</v>
      </c>
      <c r="J5" t="s">
        <v>123</v>
      </c>
    </row>
    <row r="6" spans="1:10" x14ac:dyDescent="0.25">
      <c r="A6" t="s">
        <v>124</v>
      </c>
      <c r="B6" t="s">
        <v>22</v>
      </c>
      <c r="C6" t="s">
        <v>125</v>
      </c>
      <c r="D6" t="s">
        <v>126</v>
      </c>
      <c r="E6" t="s">
        <v>76</v>
      </c>
      <c r="F6" s="7">
        <v>45966</v>
      </c>
      <c r="G6" s="7">
        <v>45967</v>
      </c>
      <c r="H6">
        <v>0</v>
      </c>
      <c r="I6" t="s">
        <v>113</v>
      </c>
    </row>
    <row r="7" spans="1:10" x14ac:dyDescent="0.25">
      <c r="A7" t="s">
        <v>127</v>
      </c>
      <c r="B7" t="s">
        <v>27</v>
      </c>
      <c r="C7" t="s">
        <v>128</v>
      </c>
      <c r="D7" t="s">
        <v>129</v>
      </c>
      <c r="E7" t="s">
        <v>76</v>
      </c>
      <c r="F7" s="7">
        <v>45967</v>
      </c>
      <c r="G7" s="7">
        <v>45968</v>
      </c>
      <c r="H7">
        <v>0</v>
      </c>
      <c r="I7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zoomScaleNormal="100" workbookViewId="0">
      <selection activeCell="C12" sqref="C12"/>
    </sheetView>
  </sheetViews>
  <sheetFormatPr defaultRowHeight="15" x14ac:dyDescent="0.25"/>
  <cols>
    <col min="1" max="1" width="19.42578125" bestFit="1" customWidth="1"/>
    <col min="2" max="2" width="22.5703125" bestFit="1" customWidth="1"/>
    <col min="3" max="3" width="11.140625" bestFit="1" customWidth="1"/>
    <col min="4" max="4" width="10.7109375" bestFit="1" customWidth="1"/>
    <col min="5" max="5" width="21" bestFit="1" customWidth="1"/>
  </cols>
  <sheetData>
    <row r="1" spans="1:5" x14ac:dyDescent="0.25">
      <c r="A1" t="s">
        <v>130</v>
      </c>
      <c r="B1" t="s">
        <v>68</v>
      </c>
      <c r="C1" t="s">
        <v>103</v>
      </c>
      <c r="D1" t="s">
        <v>5</v>
      </c>
      <c r="E1" t="s">
        <v>131</v>
      </c>
    </row>
    <row r="2" spans="1:5" x14ac:dyDescent="0.25">
      <c r="A2" t="s">
        <v>132</v>
      </c>
      <c r="B2" t="s">
        <v>133</v>
      </c>
      <c r="C2" s="7">
        <v>45960</v>
      </c>
      <c r="D2" t="s">
        <v>108</v>
      </c>
      <c r="E2" t="s">
        <v>134</v>
      </c>
    </row>
    <row r="3" spans="1:5" x14ac:dyDescent="0.25">
      <c r="A3" t="s">
        <v>135</v>
      </c>
      <c r="B3" t="s">
        <v>136</v>
      </c>
      <c r="C3" s="7">
        <v>45961</v>
      </c>
      <c r="D3" t="s">
        <v>108</v>
      </c>
      <c r="E3" t="s">
        <v>137</v>
      </c>
    </row>
    <row r="4" spans="1:5" x14ac:dyDescent="0.25">
      <c r="A4" t="s">
        <v>138</v>
      </c>
      <c r="B4" t="s">
        <v>139</v>
      </c>
      <c r="C4" s="7">
        <v>45961</v>
      </c>
      <c r="D4" t="s">
        <v>11</v>
      </c>
      <c r="E4" t="s">
        <v>140</v>
      </c>
    </row>
    <row r="5" spans="1:5" x14ac:dyDescent="0.25">
      <c r="A5" t="s">
        <v>141</v>
      </c>
      <c r="B5" t="s">
        <v>142</v>
      </c>
      <c r="C5" s="7">
        <v>45961</v>
      </c>
      <c r="D5" t="s">
        <v>11</v>
      </c>
      <c r="E5" t="s">
        <v>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"/>
  <sheetViews>
    <sheetView zoomScaleNormal="100" workbookViewId="0">
      <selection activeCell="A12" sqref="A12"/>
    </sheetView>
  </sheetViews>
  <sheetFormatPr defaultRowHeight="15" x14ac:dyDescent="0.25"/>
  <cols>
    <col min="1" max="1" width="61.5703125" bestFit="1" customWidth="1"/>
  </cols>
  <sheetData>
    <row r="1" spans="1:1" x14ac:dyDescent="0.25">
      <c r="A1" t="s">
        <v>42</v>
      </c>
    </row>
    <row r="2" spans="1:1" x14ac:dyDescent="0.25">
      <c r="A2" t="s">
        <v>43</v>
      </c>
    </row>
    <row r="3" spans="1:1" x14ac:dyDescent="0.25">
      <c r="A3" t="s">
        <v>44</v>
      </c>
    </row>
    <row r="4" spans="1:1" x14ac:dyDescent="0.25">
      <c r="A4" t="s">
        <v>45</v>
      </c>
    </row>
    <row r="5" spans="1:1" x14ac:dyDescent="0.25">
      <c r="A5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zoomScaleNormal="100" workbookViewId="0"/>
  </sheetViews>
  <sheetFormatPr defaultRowHeight="15" x14ac:dyDescent="0.25"/>
  <cols>
    <col min="1" max="1" width="58.42578125" bestFit="1" customWidth="1"/>
  </cols>
  <sheetData>
    <row r="1" spans="1:1" x14ac:dyDescent="0.25">
      <c r="A1" t="s">
        <v>47</v>
      </c>
    </row>
    <row r="2" spans="1:1" x14ac:dyDescent="0.25">
      <c r="A2" t="s">
        <v>48</v>
      </c>
    </row>
    <row r="3" spans="1:1" x14ac:dyDescent="0.25">
      <c r="A3" t="s">
        <v>49</v>
      </c>
    </row>
    <row r="4" spans="1:1" x14ac:dyDescent="0.25">
      <c r="A4" t="s">
        <v>50</v>
      </c>
    </row>
    <row r="5" spans="1:1" x14ac:dyDescent="0.25">
      <c r="A5" t="s">
        <v>51</v>
      </c>
    </row>
    <row r="6" spans="1:1" x14ac:dyDescent="0.25">
      <c r="A6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zoomScaleNormal="100" workbookViewId="0">
      <selection activeCell="A13" sqref="A13"/>
    </sheetView>
  </sheetViews>
  <sheetFormatPr defaultRowHeight="15" x14ac:dyDescent="0.25"/>
  <cols>
    <col min="1" max="1" width="116.42578125" bestFit="1" customWidth="1"/>
  </cols>
  <sheetData>
    <row r="1" spans="1:2" x14ac:dyDescent="0.25">
      <c r="A1" t="s">
        <v>53</v>
      </c>
    </row>
    <row r="2" spans="1:2" x14ac:dyDescent="0.25">
      <c r="A2" t="s">
        <v>54</v>
      </c>
    </row>
    <row r="3" spans="1:2" x14ac:dyDescent="0.25">
      <c r="A3" t="s">
        <v>55</v>
      </c>
    </row>
    <row r="4" spans="1:2" x14ac:dyDescent="0.25">
      <c r="A4" t="s">
        <v>56</v>
      </c>
    </row>
    <row r="5" spans="1:2" x14ac:dyDescent="0.25">
      <c r="A5" t="s">
        <v>57</v>
      </c>
    </row>
    <row r="6" spans="1:2" x14ac:dyDescent="0.25">
      <c r="A6" t="s">
        <v>58</v>
      </c>
    </row>
    <row r="7" spans="1:2" x14ac:dyDescent="0.25">
      <c r="A7" t="s">
        <v>59</v>
      </c>
      <c r="B7">
        <f>COUNTA(Bug_Issue_Tracker!A2:A100)</f>
        <v>3</v>
      </c>
    </row>
    <row r="8" spans="1:2" x14ac:dyDescent="0.25">
      <c r="A8" t="s">
        <v>60</v>
      </c>
      <c r="B8">
        <f>COUNTIF(Bug_Issue_Tracker!H2:H100,"Open")</f>
        <v>1</v>
      </c>
    </row>
    <row r="9" spans="1:2" x14ac:dyDescent="0.25">
      <c r="A9" t="s">
        <v>61</v>
      </c>
      <c r="B9">
        <f>COUNTIF(Bug_Issue_Tracker!H2:H100,"Resolved")</f>
        <v>2</v>
      </c>
    </row>
    <row r="10" spans="1:2" x14ac:dyDescent="0.25">
      <c r="A10" t="s">
        <v>62</v>
      </c>
      <c r="B10">
        <f ca="1">COUNTIF(Bug_Issue_Tracker!N2:N100,"⚠️ Yes")</f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5"/>
  <sheetViews>
    <sheetView zoomScaleNormal="100" workbookViewId="0">
      <selection activeCell="G20" sqref="G20"/>
    </sheetView>
  </sheetViews>
  <sheetFormatPr defaultRowHeight="15" x14ac:dyDescent="0.25"/>
  <cols>
    <col min="1" max="1" width="5.140625" bestFit="1" customWidth="1"/>
    <col min="2" max="2" width="9.5703125" bestFit="1" customWidth="1"/>
    <col min="3" max="3" width="11.85546875" bestFit="1" customWidth="1"/>
    <col min="4" max="4" width="14" bestFit="1" customWidth="1"/>
    <col min="5" max="5" width="8.42578125" bestFit="1" customWidth="1"/>
    <col min="6" max="6" width="25.5703125" bestFit="1" customWidth="1"/>
    <col min="7" max="7" width="43.28515625" bestFit="1" customWidth="1"/>
    <col min="8" max="8" width="10.7109375" bestFit="1" customWidth="1"/>
    <col min="9" max="9" width="9.7109375" bestFit="1" customWidth="1"/>
    <col min="10" max="10" width="14.28515625" bestFit="1" customWidth="1"/>
    <col min="11" max="11" width="13.85546875" bestFit="1" customWidth="1"/>
    <col min="12" max="12" width="25.28515625" bestFit="1" customWidth="1"/>
    <col min="13" max="13" width="10.42578125" bestFit="1" customWidth="1"/>
    <col min="14" max="14" width="11.42578125" bestFit="1" customWidth="1"/>
    <col min="15" max="15" width="6.85546875" bestFit="1" customWidth="1"/>
    <col min="16" max="16" width="14" bestFit="1" customWidth="1"/>
    <col min="17" max="17" width="11.85546875" bestFit="1" customWidth="1"/>
    <col min="18" max="18" width="7.42578125" bestFit="1" customWidth="1"/>
    <col min="19" max="19" width="4.28515625" bestFit="1" customWidth="1"/>
  </cols>
  <sheetData>
    <row r="1" spans="1:19" x14ac:dyDescent="0.25">
      <c r="A1" t="s">
        <v>63</v>
      </c>
      <c r="B1" t="s">
        <v>0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5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</row>
    <row r="2" spans="1:19" x14ac:dyDescent="0.25">
      <c r="A2" t="s">
        <v>75</v>
      </c>
      <c r="B2" t="s">
        <v>7</v>
      </c>
      <c r="C2" t="s">
        <v>76</v>
      </c>
      <c r="D2" s="7">
        <v>45961</v>
      </c>
      <c r="E2" t="s">
        <v>78</v>
      </c>
      <c r="F2" t="s">
        <v>79</v>
      </c>
      <c r="G2" t="s">
        <v>80</v>
      </c>
      <c r="H2" t="s">
        <v>81</v>
      </c>
      <c r="I2" t="s">
        <v>82</v>
      </c>
      <c r="J2" s="7">
        <v>45961</v>
      </c>
      <c r="K2" s="7">
        <v>45961</v>
      </c>
      <c r="L2" t="s">
        <v>83</v>
      </c>
      <c r="M2" t="s">
        <v>144</v>
      </c>
      <c r="N2" t="s">
        <v>145</v>
      </c>
      <c r="O2" t="s">
        <v>146</v>
      </c>
      <c r="P2" t="s">
        <v>147</v>
      </c>
      <c r="Q2" t="s">
        <v>148</v>
      </c>
      <c r="R2" t="s">
        <v>149</v>
      </c>
      <c r="S2" t="s">
        <v>150</v>
      </c>
    </row>
    <row r="3" spans="1:19" x14ac:dyDescent="0.25">
      <c r="A3" t="s">
        <v>84</v>
      </c>
      <c r="B3" t="s">
        <v>85</v>
      </c>
      <c r="C3" t="s">
        <v>76</v>
      </c>
      <c r="D3" s="7">
        <v>45961</v>
      </c>
      <c r="E3" t="s">
        <v>86</v>
      </c>
      <c r="F3" t="s">
        <v>87</v>
      </c>
      <c r="G3" t="s">
        <v>151</v>
      </c>
      <c r="H3" t="s">
        <v>81</v>
      </c>
      <c r="I3" t="s">
        <v>89</v>
      </c>
      <c r="J3" s="7">
        <v>45961</v>
      </c>
      <c r="K3" s="7">
        <v>45961</v>
      </c>
      <c r="L3" t="s">
        <v>90</v>
      </c>
      <c r="M3" t="s">
        <v>152</v>
      </c>
      <c r="N3" t="s">
        <v>153</v>
      </c>
      <c r="O3" t="s">
        <v>154</v>
      </c>
      <c r="P3" t="s">
        <v>155</v>
      </c>
      <c r="Q3" t="s">
        <v>156</v>
      </c>
      <c r="R3" t="s">
        <v>149</v>
      </c>
      <c r="S3" t="s">
        <v>150</v>
      </c>
    </row>
    <row r="4" spans="1:19" x14ac:dyDescent="0.25">
      <c r="A4" t="s">
        <v>91</v>
      </c>
      <c r="B4" t="s">
        <v>92</v>
      </c>
      <c r="C4" t="s">
        <v>76</v>
      </c>
      <c r="D4" s="7">
        <v>45962</v>
      </c>
      <c r="E4" t="s">
        <v>94</v>
      </c>
      <c r="F4" t="s">
        <v>95</v>
      </c>
      <c r="G4" t="s">
        <v>96</v>
      </c>
      <c r="H4" t="s">
        <v>97</v>
      </c>
      <c r="I4" t="s">
        <v>82</v>
      </c>
      <c r="J4" s="7">
        <v>45963</v>
      </c>
      <c r="L4" t="s">
        <v>100</v>
      </c>
      <c r="M4" t="s">
        <v>157</v>
      </c>
      <c r="N4" t="s">
        <v>158</v>
      </c>
      <c r="O4" t="s">
        <v>159</v>
      </c>
      <c r="P4" t="s">
        <v>160</v>
      </c>
      <c r="Q4" t="s">
        <v>161</v>
      </c>
      <c r="R4" t="s">
        <v>149</v>
      </c>
      <c r="S4" t="s">
        <v>150</v>
      </c>
    </row>
    <row r="5" spans="1:19" x14ac:dyDescent="0.25">
      <c r="A5" t="s">
        <v>162</v>
      </c>
      <c r="B5" t="s">
        <v>116</v>
      </c>
      <c r="C5" t="s">
        <v>76</v>
      </c>
      <c r="D5" s="7">
        <v>45962</v>
      </c>
      <c r="E5" t="s">
        <v>78</v>
      </c>
      <c r="F5" t="s">
        <v>163</v>
      </c>
      <c r="G5" t="s">
        <v>164</v>
      </c>
      <c r="H5" t="s">
        <v>11</v>
      </c>
      <c r="I5" t="s">
        <v>165</v>
      </c>
      <c r="J5" s="7">
        <v>45963</v>
      </c>
      <c r="L5" t="s">
        <v>166</v>
      </c>
      <c r="M5" t="s">
        <v>167</v>
      </c>
      <c r="N5" t="s">
        <v>168</v>
      </c>
      <c r="O5" t="s">
        <v>169</v>
      </c>
      <c r="P5" t="s">
        <v>170</v>
      </c>
      <c r="Q5" t="s">
        <v>171</v>
      </c>
      <c r="R5" t="s">
        <v>149</v>
      </c>
      <c r="S5" t="s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"/>
  <sheetViews>
    <sheetView tabSelected="1" workbookViewId="0">
      <selection activeCell="J22" sqref="J22"/>
    </sheetView>
  </sheetViews>
  <sheetFormatPr defaultRowHeight="15" x14ac:dyDescent="0.25"/>
  <cols>
    <col min="1" max="14" width="20" customWidth="1"/>
  </cols>
  <sheetData>
    <row r="1" spans="1:14" s="1" customFormat="1" x14ac:dyDescent="0.25">
      <c r="A1" s="1" t="s">
        <v>63</v>
      </c>
      <c r="B1" s="1" t="s">
        <v>0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5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</row>
    <row r="2" spans="1:14" x14ac:dyDescent="0.25">
      <c r="A2" t="s">
        <v>75</v>
      </c>
      <c r="B2" t="s">
        <v>7</v>
      </c>
      <c r="C2" t="s">
        <v>76</v>
      </c>
      <c r="D2" t="s">
        <v>77</v>
      </c>
      <c r="E2" s="2" t="s">
        <v>78</v>
      </c>
      <c r="F2" t="s">
        <v>79</v>
      </c>
      <c r="G2" t="s">
        <v>80</v>
      </c>
      <c r="H2" s="3" t="s">
        <v>81</v>
      </c>
      <c r="I2" t="s">
        <v>82</v>
      </c>
      <c r="J2" t="s">
        <v>77</v>
      </c>
      <c r="K2" t="s">
        <v>77</v>
      </c>
      <c r="L2" t="s">
        <v>83</v>
      </c>
      <c r="M2">
        <f t="shared" ref="M2:M10" ca="1" si="0">IF(K2="",TODAY()-D2,K2-D2)</f>
        <v>0</v>
      </c>
      <c r="N2" t="str">
        <f t="shared" ref="N2:N10" ca="1" si="1">IF(AND(K2="",J2&lt;TODAY()),"⚠️ Yes","No")</f>
        <v>No</v>
      </c>
    </row>
    <row r="3" spans="1:14" x14ac:dyDescent="0.25">
      <c r="A3" t="s">
        <v>84</v>
      </c>
      <c r="B3" t="s">
        <v>85</v>
      </c>
      <c r="C3" t="s">
        <v>76</v>
      </c>
      <c r="D3" t="s">
        <v>77</v>
      </c>
      <c r="E3" s="4" t="s">
        <v>86</v>
      </c>
      <c r="F3" t="s">
        <v>87</v>
      </c>
      <c r="G3" t="s">
        <v>88</v>
      </c>
      <c r="H3" s="3" t="s">
        <v>81</v>
      </c>
      <c r="I3" t="s">
        <v>89</v>
      </c>
      <c r="J3" t="s">
        <v>77</v>
      </c>
      <c r="K3" t="s">
        <v>77</v>
      </c>
      <c r="L3" t="s">
        <v>90</v>
      </c>
      <c r="M3">
        <f t="shared" ca="1" si="0"/>
        <v>0</v>
      </c>
      <c r="N3" t="str">
        <f t="shared" ca="1" si="1"/>
        <v>No</v>
      </c>
    </row>
    <row r="4" spans="1:14" x14ac:dyDescent="0.25">
      <c r="A4" t="s">
        <v>91</v>
      </c>
      <c r="B4" t="s">
        <v>92</v>
      </c>
      <c r="C4" t="s">
        <v>76</v>
      </c>
      <c r="D4" t="s">
        <v>93</v>
      </c>
      <c r="E4" s="5" t="s">
        <v>94</v>
      </c>
      <c r="F4" t="s">
        <v>95</v>
      </c>
      <c r="G4" t="s">
        <v>96</v>
      </c>
      <c r="H4" s="6" t="s">
        <v>97</v>
      </c>
      <c r="I4" t="s">
        <v>82</v>
      </c>
      <c r="J4" t="s">
        <v>98</v>
      </c>
      <c r="K4" t="s">
        <v>99</v>
      </c>
      <c r="L4" t="s">
        <v>100</v>
      </c>
      <c r="M4">
        <f t="shared" ca="1" si="0"/>
        <v>-1</v>
      </c>
      <c r="N4" t="str">
        <f t="shared" ca="1" si="1"/>
        <v>No</v>
      </c>
    </row>
    <row r="5" spans="1:14" x14ac:dyDescent="0.25">
      <c r="M5">
        <f t="shared" ca="1" si="0"/>
        <v>45961</v>
      </c>
      <c r="N5" t="str">
        <f t="shared" ca="1" si="1"/>
        <v>⚠️ Yes</v>
      </c>
    </row>
    <row r="6" spans="1:14" x14ac:dyDescent="0.25">
      <c r="M6">
        <f t="shared" ca="1" si="0"/>
        <v>45961</v>
      </c>
      <c r="N6" t="str">
        <f t="shared" ca="1" si="1"/>
        <v>⚠️ Yes</v>
      </c>
    </row>
    <row r="7" spans="1:14" x14ac:dyDescent="0.25">
      <c r="M7">
        <f t="shared" ca="1" si="0"/>
        <v>45961</v>
      </c>
      <c r="N7" t="str">
        <f t="shared" ca="1" si="1"/>
        <v>⚠️ Yes</v>
      </c>
    </row>
    <row r="8" spans="1:14" x14ac:dyDescent="0.25">
      <c r="M8">
        <f t="shared" ca="1" si="0"/>
        <v>45961</v>
      </c>
      <c r="N8" t="str">
        <f t="shared" ca="1" si="1"/>
        <v>⚠️ Yes</v>
      </c>
    </row>
    <row r="9" spans="1:14" x14ac:dyDescent="0.25">
      <c r="M9">
        <f t="shared" ca="1" si="0"/>
        <v>45961</v>
      </c>
      <c r="N9" t="str">
        <f t="shared" ca="1" si="1"/>
        <v>⚠️ Yes</v>
      </c>
    </row>
    <row r="10" spans="1:14" x14ac:dyDescent="0.25">
      <c r="M10">
        <f t="shared" ca="1" si="0"/>
        <v>45961</v>
      </c>
      <c r="N10" t="str">
        <f t="shared" ca="1" si="1"/>
        <v>⚠️ Yes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 Summary</vt:lpstr>
      <vt:lpstr>Detailed Tracker</vt:lpstr>
      <vt:lpstr>Milestones</vt:lpstr>
      <vt:lpstr>Change Log</vt:lpstr>
      <vt:lpstr>Next SprintPriority,Task,Owner,</vt:lpstr>
      <vt:lpstr>Auto Summary</vt:lpstr>
      <vt:lpstr>Bug_Issue Tracker</vt:lpstr>
      <vt:lpstr>Bug_Issue_Tracker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2025-10-31T06:50:26Z</dcterms:created>
  <dcterms:modified xsi:type="dcterms:W3CDTF">2025-10-31T07:54:41Z</dcterms:modified>
</cp:coreProperties>
</file>