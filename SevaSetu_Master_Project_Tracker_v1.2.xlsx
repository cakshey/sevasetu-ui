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83E1BB68-8941-4906-8592-BB239F4F44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 Summary" sheetId="1" r:id="rId1"/>
    <sheet name="Detailed Tracker" sheetId="2" r:id="rId2"/>
    <sheet name="Milestones" sheetId="3" r:id="rId3"/>
    <sheet name="Change Log" sheetId="4" r:id="rId4"/>
    <sheet name="Next SprintPriority,Task,Owner," sheetId="5" r:id="rId5"/>
    <sheet name="Auto Summary" sheetId="6" r:id="rId6"/>
    <sheet name="Bug_Issue Tracker" sheetId="7" r:id="rId7"/>
    <sheet name="Bug_Issue_Track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G8" i="1"/>
  <c r="F9" i="1"/>
  <c r="G9" i="1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N50" i="8"/>
  <c r="M50" i="8"/>
  <c r="A50" i="8"/>
  <c r="N49" i="8"/>
  <c r="M49" i="8"/>
  <c r="A49" i="8"/>
  <c r="N48" i="8"/>
  <c r="M48" i="8"/>
  <c r="A48" i="8"/>
  <c r="N47" i="8"/>
  <c r="M47" i="8"/>
  <c r="A47" i="8"/>
  <c r="N46" i="8"/>
  <c r="M46" i="8"/>
  <c r="A46" i="8"/>
  <c r="N45" i="8"/>
  <c r="M45" i="8"/>
  <c r="A45" i="8"/>
  <c r="N44" i="8"/>
  <c r="M44" i="8"/>
  <c r="A44" i="8"/>
  <c r="N43" i="8"/>
  <c r="M43" i="8"/>
  <c r="A43" i="8"/>
  <c r="N42" i="8"/>
  <c r="M42" i="8"/>
  <c r="A42" i="8"/>
  <c r="N41" i="8"/>
  <c r="M41" i="8"/>
  <c r="A41" i="8"/>
  <c r="N40" i="8"/>
  <c r="M40" i="8"/>
  <c r="A40" i="8"/>
  <c r="N39" i="8"/>
  <c r="M39" i="8"/>
  <c r="A39" i="8"/>
  <c r="N38" i="8"/>
  <c r="M38" i="8"/>
  <c r="A38" i="8"/>
  <c r="N37" i="8"/>
  <c r="M37" i="8"/>
  <c r="A37" i="8"/>
  <c r="N36" i="8"/>
  <c r="M36" i="8"/>
  <c r="A36" i="8"/>
  <c r="N35" i="8"/>
  <c r="M35" i="8"/>
  <c r="A35" i="8"/>
  <c r="N34" i="8"/>
  <c r="M34" i="8"/>
  <c r="A34" i="8"/>
  <c r="N33" i="8"/>
  <c r="M33" i="8"/>
  <c r="A33" i="8"/>
  <c r="N32" i="8"/>
  <c r="M32" i="8"/>
  <c r="A32" i="8"/>
  <c r="N31" i="8"/>
  <c r="M31" i="8"/>
  <c r="A31" i="8"/>
  <c r="N30" i="8"/>
  <c r="M30" i="8"/>
  <c r="A30" i="8"/>
  <c r="N29" i="8"/>
  <c r="M29" i="8"/>
  <c r="A29" i="8"/>
  <c r="N28" i="8"/>
  <c r="M28" i="8"/>
  <c r="A28" i="8"/>
  <c r="N27" i="8"/>
  <c r="M27" i="8"/>
  <c r="A27" i="8"/>
  <c r="N26" i="8"/>
  <c r="M26" i="8"/>
  <c r="A26" i="8"/>
  <c r="N25" i="8"/>
  <c r="M25" i="8"/>
  <c r="A25" i="8"/>
  <c r="N24" i="8"/>
  <c r="M24" i="8"/>
  <c r="A24" i="8"/>
  <c r="N23" i="8"/>
  <c r="M23" i="8"/>
  <c r="A23" i="8"/>
  <c r="N22" i="8"/>
  <c r="M22" i="8"/>
  <c r="A22" i="8"/>
  <c r="N21" i="8"/>
  <c r="M21" i="8"/>
  <c r="A21" i="8"/>
  <c r="N20" i="8"/>
  <c r="M20" i="8"/>
  <c r="A20" i="8"/>
  <c r="N19" i="8"/>
  <c r="M19" i="8"/>
  <c r="A19" i="8"/>
  <c r="N18" i="8"/>
  <c r="M18" i="8"/>
  <c r="A18" i="8"/>
  <c r="N17" i="8"/>
  <c r="M17" i="8"/>
  <c r="A17" i="8"/>
  <c r="N16" i="8"/>
  <c r="M16" i="8"/>
  <c r="A16" i="8"/>
  <c r="N15" i="8"/>
  <c r="M15" i="8"/>
  <c r="A15" i="8"/>
  <c r="N14" i="8"/>
  <c r="M14" i="8"/>
  <c r="A14" i="8"/>
  <c r="N13" i="8"/>
  <c r="M13" i="8"/>
  <c r="A13" i="8"/>
  <c r="N12" i="8"/>
  <c r="M12" i="8"/>
  <c r="A12" i="8"/>
  <c r="N11" i="8"/>
  <c r="M11" i="8"/>
  <c r="A11" i="8"/>
  <c r="N10" i="8"/>
  <c r="M10" i="8"/>
  <c r="A10" i="8"/>
  <c r="N9" i="8"/>
  <c r="M9" i="8"/>
  <c r="A9" i="8"/>
  <c r="N8" i="8"/>
  <c r="M8" i="8"/>
  <c r="A8" i="8"/>
  <c r="N7" i="8"/>
  <c r="M7" i="8"/>
  <c r="A7" i="8"/>
  <c r="N6" i="8"/>
  <c r="M6" i="8"/>
  <c r="A6" i="8"/>
  <c r="N5" i="8"/>
  <c r="M5" i="8"/>
  <c r="A5" i="8"/>
  <c r="N4" i="8"/>
  <c r="M4" i="8"/>
  <c r="A4" i="8"/>
  <c r="N3" i="8"/>
  <c r="M3" i="8"/>
  <c r="A3" i="8"/>
  <c r="N2" i="8"/>
  <c r="M2" i="8"/>
  <c r="A2" i="8"/>
  <c r="B7" i="6" s="1"/>
  <c r="B9" i="6"/>
  <c r="B8" i="6"/>
  <c r="D9" i="1"/>
  <c r="C9" i="1"/>
  <c r="D8" i="1"/>
  <c r="C8" i="1"/>
  <c r="B8" i="1"/>
  <c r="B10" i="6" l="1"/>
  <c r="B9" i="1"/>
</calcChain>
</file>

<file path=xl/sharedStrings.xml><?xml version="1.0" encoding="utf-8"?>
<sst xmlns="http://schemas.openxmlformats.org/spreadsheetml/2006/main" count="220" uniqueCount="137">
  <si>
    <t>Module</t>
  </si>
  <si>
    <t>Total Tasks</t>
  </si>
  <si>
    <t>Completed</t>
  </si>
  <si>
    <t>Pending</t>
  </si>
  <si>
    <t>% Complete</t>
  </si>
  <si>
    <t>Status</t>
  </si>
  <si>
    <t>Next Milestone</t>
  </si>
  <si>
    <t>Customer</t>
  </si>
  <si>
    <t>0))</t>
  </si>
  <si>
    <t>In Progress</t>
  </si>
  <si>
    <t>Booking Flow UI (Nov 2)</t>
  </si>
  <si>
    <t>Service Provider</t>
  </si>
  <si>
    <t>Registration (Nov 3)</t>
  </si>
  <si>
    <t>Admin / Ops</t>
  </si>
  <si>
    <t>Good</t>
  </si>
  <si>
    <t>Reports UI (Nov 2)</t>
  </si>
  <si>
    <t>Costing</t>
  </si>
  <si>
    <t>Low Progress</t>
  </si>
  <si>
    <t>Pricing Logic (Nov 4)</t>
  </si>
  <si>
    <t>Reports &amp; Analytics</t>
  </si>
  <si>
    <t>Analytics (Nov 5)</t>
  </si>
  <si>
    <t>Backend / Infra</t>
  </si>
  <si>
    <t>Stable</t>
  </si>
  <si>
    <t>Vercel Integration (Nov 1)</t>
  </si>
  <si>
    <t>TOTAL</t>
  </si>
  <si>
    <t>Bug_Issue_Tracker</t>
  </si>
  <si>
    <t>Metric,Value</t>
  </si>
  <si>
    <t>Total Tasks,=SUM('Dashboard Summary'!B2:B7)</t>
  </si>
  <si>
    <t>Completed,=SUM('Dashboard Summary'!C2:C7)</t>
  </si>
  <si>
    <t>Overall %,=IF(B1=0,0,ROUND(B2/B1*100,0))</t>
  </si>
  <si>
    <t>Active Modules,=COUNTA('Dashboard Summary'!A2:A7)</t>
  </si>
  <si>
    <t>Next Milestone,=INDEX('Dashboard Summary'!G2:G7,MATCH(MIN('Dashboard Summary'!C2:C7),'Dashboard Summary'!C2:C7,0))</t>
  </si>
  <si>
    <t>Total Bugs</t>
  </si>
  <si>
    <t>Open Bugs</t>
  </si>
  <si>
    <t>Resolved Bugs</t>
  </si>
  <si>
    <t>Overdue Bugs</t>
  </si>
  <si>
    <t>ID,Module,Reported By,Date Reported,Severity,Issue Title,Description,Status,Owner,Target Fix Date,Date Resolved,Resolution Notes,Days Open,Overdue</t>
  </si>
  <si>
    <t>B001,Customer,Akhsey,2025-10-31,High,OTP Verification Loop,"OTP not verifying properly in dev environment","Resolved",Dev Team,2025-10-31,2025-10-31,"ReCaptcha reinit fixed",=IF(K2="",TODAY()-D2,K2-D2),=IF(AND(K2="",J2&lt;TODAY()),"⚠️ Yes","No")</t>
  </si>
  <si>
    <t>B002,Feedback,Akhsey,2025-10-31,Medium,Feedback Form Alignment,"Fields not aligned after animation update","Resolved",UI Team,2025-10-31,2025-10-31,"CSS grid adjusted",=IF(K3="",TODAY()-D3,K3-D3),=IF(AND(K3="",J3&lt;TODAY()),"⚠️ Yes","No")</t>
  </si>
  <si>
    <t>B003,Admin,Akhsey,2025-11-01,Low,Report Table Pagination,"Admin table shows only 10 rows","Open",Dev Team,2025-11-02,,"Pending pagination logic",=IF(K4="",TODAY()-D4,K4-D4),=IF(AND(K4="",J4&lt;TODAY()),"⚠️ Yes","No")</t>
  </si>
  <si>
    <t>B004,Provider,Akhsey,2025-11-01,High,Provider Registration Crash,"Error on submit after KYC upload","In Progress",Backend,2025-11-02,,"Investigating storage limits",=IF(K5="",TODAY()-D5,K5-D5),=IF(AND(K5="",J5&lt;TODAY()),"⚠️ Yes","No")</t>
  </si>
  <si>
    <t>ID</t>
  </si>
  <si>
    <t>Reported By</t>
  </si>
  <si>
    <t>Date Reported</t>
  </si>
  <si>
    <t>Severity</t>
  </si>
  <si>
    <t>Issue Title</t>
  </si>
  <si>
    <t>Description</t>
  </si>
  <si>
    <t>Owner</t>
  </si>
  <si>
    <t>Target Fix Date</t>
  </si>
  <si>
    <t>Date Resolved</t>
  </si>
  <si>
    <t>Resolution Notes</t>
  </si>
  <si>
    <t>Days Open</t>
  </si>
  <si>
    <t>Overdue</t>
  </si>
  <si>
    <t>Akhsey</t>
  </si>
  <si>
    <t>2025-10-31</t>
  </si>
  <si>
    <t>High</t>
  </si>
  <si>
    <t>OTP Verification Loop</t>
  </si>
  <si>
    <t>OTP not verifying properly in dev environment</t>
  </si>
  <si>
    <t>Resolved</t>
  </si>
  <si>
    <t>Dev Team</t>
  </si>
  <si>
    <t>ReCaptcha reinit fixed</t>
  </si>
  <si>
    <t>Feedback</t>
  </si>
  <si>
    <t>Medium</t>
  </si>
  <si>
    <t>Feedback Form Alignment</t>
  </si>
  <si>
    <t>Fields misaligned after animation update</t>
  </si>
  <si>
    <t>UI Team</t>
  </si>
  <si>
    <t>CSS grid adjusted</t>
  </si>
  <si>
    <t>Admin</t>
  </si>
  <si>
    <t>2025-11-01</t>
  </si>
  <si>
    <t>Low</t>
  </si>
  <si>
    <t>Report Table Pagination</t>
  </si>
  <si>
    <t>Admin table shows only 10 rows</t>
  </si>
  <si>
    <t>Open</t>
  </si>
  <si>
    <t>2025-11-02</t>
  </si>
  <si>
    <t/>
  </si>
  <si>
    <t>Pending pagination logic</t>
  </si>
  <si>
    <t>Task</t>
  </si>
  <si>
    <t>Start Date</t>
  </si>
  <si>
    <t>Target Date</t>
  </si>
  <si>
    <t>Notes</t>
  </si>
  <si>
    <t>C1</t>
  </si>
  <si>
    <t>Home Page</t>
  </si>
  <si>
    <t>Service Discovery UI</t>
  </si>
  <si>
    <t>Done</t>
  </si>
  <si>
    <t>Verified</t>
  </si>
  <si>
    <t>C3</t>
  </si>
  <si>
    <t>Booking Flow</t>
  </si>
  <si>
    <t>Select + Schedule Service</t>
  </si>
  <si>
    <t>Planned</t>
  </si>
  <si>
    <t>Design Pending</t>
  </si>
  <si>
    <t>SP1</t>
  </si>
  <si>
    <t>Provider</t>
  </si>
  <si>
    <t>Registration / KYC</t>
  </si>
  <si>
    <t>Provider Sign-Up + Docs</t>
  </si>
  <si>
    <t>A4</t>
  </si>
  <si>
    <t>Dashboard Reports</t>
  </si>
  <si>
    <t>Graphs + Data for Admin</t>
  </si>
  <si>
    <t>Partial</t>
  </si>
  <si>
    <t>Firestore Linkage</t>
  </si>
  <si>
    <t>COST1</t>
  </si>
  <si>
    <t>Dynamic Pricing</t>
  </si>
  <si>
    <t>Variable Pricing Per City</t>
  </si>
  <si>
    <t>R2</t>
  </si>
  <si>
    <t>Provider Ratings</t>
  </si>
  <si>
    <t>Ratings Summary Per Provider</t>
  </si>
  <si>
    <t>Milestone</t>
  </si>
  <si>
    <t>Dependencies</t>
  </si>
  <si>
    <t>MVP Alpha Launch</t>
  </si>
  <si>
    <t>OTP + Waitlist Live</t>
  </si>
  <si>
    <t>Firebase Auth</t>
  </si>
  <si>
    <t>Feedback Flow</t>
  </si>
  <si>
    <t>Rating + Thank You Page</t>
  </si>
  <si>
    <t>Feedback DB</t>
  </si>
  <si>
    <t>reCAPTCHA Invisible</t>
  </si>
  <si>
    <t>Hide Visible Widget</t>
  </si>
  <si>
    <t>LaunchingSoonWidget</t>
  </si>
  <si>
    <t>GitHub + Vercel Sync</t>
  </si>
  <si>
    <t>Connect Repos &amp; CI</t>
  </si>
  <si>
    <t>GitHub</t>
  </si>
  <si>
    <t>Date</t>
  </si>
  <si>
    <t>Change</t>
  </si>
  <si>
    <t>By</t>
  </si>
  <si>
    <t>Firebase Hosting</t>
  </si>
  <si>
    <t>Production Deployed</t>
  </si>
  <si>
    <t>Feedback UI</t>
  </si>
  <si>
    <t>Thank-You Animation Added</t>
  </si>
  <si>
    <t>OTP Widget</t>
  </si>
  <si>
    <t>Production Success</t>
  </si>
  <si>
    <t>Tracker Setup</t>
  </si>
  <si>
    <t>Master Tracker Created</t>
  </si>
  <si>
    <t>Priority</t>
  </si>
  <si>
    <t>Planned Date</t>
  </si>
  <si>
    <t>reCAPTCHA Invisible Fix</t>
  </si>
  <si>
    <t>GitHub &amp; Vercel Sync</t>
  </si>
  <si>
    <t>Booking Flow UI</t>
  </si>
  <si>
    <t>Provider Registration</t>
  </si>
  <si>
    <t>Costing Model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</si>
</sst>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4080"/>
      </patternFill>
    </fill>
    <fill>
      <patternFill patternType="solid">
        <fgColor rgb="FFFF9999"/>
      </patternFill>
    </fill>
    <fill>
      <patternFill patternType="solid">
        <fgColor rgb="FFB6D7A8"/>
      </patternFill>
    </fill>
    <fill>
      <patternFill patternType="solid">
        <fgColor rgb="FFFFFF99"/>
      </patternFill>
    </fill>
    <fill>
      <patternFill patternType="solid">
        <fgColor rgb="FFCCFFC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'Dashboard Summary'!$A$2:$E$9</c:f>
              <c:multiLvlStrCache>
                <c:ptCount val="8"/>
                <c:lvl>
                  <c:pt idx="0">
                    <c:v>Customer</c:v>
                  </c:pt>
                  <c:pt idx="1">
                    <c:v>Service Provider</c:v>
                  </c:pt>
                  <c:pt idx="2">
                    <c:v>Admin / Ops</c:v>
                  </c:pt>
                  <c:pt idx="3">
                    <c:v>Costing</c:v>
                  </c:pt>
                  <c:pt idx="4">
                    <c:v>Reports &amp; Analytics</c:v>
                  </c:pt>
                  <c:pt idx="5">
                    <c:v>Backend / Infra</c:v>
                  </c:pt>
                  <c:pt idx="6">
                    <c:v>TOTAL</c:v>
                  </c:pt>
                  <c:pt idx="7">
                    <c:v>Bug_Issue_Tracker</c:v>
                  </c:pt>
                </c:lvl>
                <c:lvl>
                  <c:pt idx="0">
                    <c:v>6</c:v>
                  </c:pt>
                  <c:pt idx="1">
                    <c:v>5</c:v>
                  </c:pt>
                  <c:pt idx="2">
                    <c:v>4</c:v>
                  </c:pt>
                  <c:pt idx="3">
                    <c:v>5</c:v>
                  </c:pt>
                  <c:pt idx="4">
                    <c:v>5</c:v>
                  </c:pt>
                  <c:pt idx="5">
                    <c:v>3</c:v>
                  </c:pt>
                  <c:pt idx="6">
                    <c:v>28</c:v>
                  </c:pt>
                  <c:pt idx="7">
                    <c:v>1</c:v>
                  </c:pt>
                </c:lvl>
                <c:lvl>
                  <c:pt idx="0">
                    <c:v>4</c:v>
                  </c:pt>
                  <c:pt idx="1">
                    <c:v>3</c:v>
                  </c:pt>
                  <c:pt idx="2">
                    <c:v>5</c:v>
                  </c:pt>
                  <c:pt idx="3">
                    <c:v>1</c:v>
                  </c:pt>
                  <c:pt idx="4">
                    <c:v>1</c:v>
                  </c:pt>
                  <c:pt idx="5">
                    <c:v>5</c:v>
                  </c:pt>
                  <c:pt idx="6">
                    <c:v>19</c:v>
                  </c:pt>
                  <c:pt idx="7">
                    <c:v>2</c:v>
                  </c:pt>
                </c:lvl>
                <c:lvl>
                  <c:pt idx="0">
                    <c:v>10</c:v>
                  </c:pt>
                  <c:pt idx="1">
                    <c:v>8</c:v>
                  </c:pt>
                  <c:pt idx="2">
                    <c:v>9</c:v>
                  </c:pt>
                  <c:pt idx="3">
                    <c:v>6</c:v>
                  </c:pt>
                  <c:pt idx="4">
                    <c:v>6</c:v>
                  </c:pt>
                  <c:pt idx="5">
                    <c:v>8</c:v>
                  </c:pt>
                  <c:pt idx="6">
                    <c:v>47</c:v>
                  </c:pt>
                  <c:pt idx="7">
                    <c:v>99</c:v>
                  </c:pt>
                </c:lvl>
                <c:lvl>
                  <c:pt idx="0">
                    <c:v>Customer</c:v>
                  </c:pt>
                  <c:pt idx="1">
                    <c:v>Service Provider</c:v>
                  </c:pt>
                  <c:pt idx="2">
                    <c:v>Admin / Ops</c:v>
                  </c:pt>
                  <c:pt idx="3">
                    <c:v>Costing</c:v>
                  </c:pt>
                  <c:pt idx="4">
                    <c:v>Reports &amp; Analytics</c:v>
                  </c:pt>
                  <c:pt idx="5">
                    <c:v>Backend / Infra</c:v>
                  </c:pt>
                  <c:pt idx="6">
                    <c:v>TOTAL</c:v>
                  </c:pt>
                  <c:pt idx="7">
                    <c:v>Bug_Issue_Tracker</c:v>
                  </c:pt>
                </c:lvl>
              </c:multiLvlStrCache>
            </c:multiLvlStrRef>
          </c:cat>
          <c:val>
            <c:numRef>
              <c:f>'Dashboard Summary'!$F$2:$F$9</c:f>
              <c:numCache>
                <c:formatCode>General</c:formatCode>
                <c:ptCount val="8"/>
                <c:pt idx="0">
                  <c:v>2.6666666666666701</c:v>
                </c:pt>
                <c:pt idx="1">
                  <c:v>2.3333333333333299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0.33333333333333398</c:v>
                </c:pt>
                <c:pt idx="6">
                  <c:v>12.333333333333334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0-46DB-9499-4D7B8C44BE5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'Dashboard Summary'!$A$2:$E$9</c:f>
              <c:multiLvlStrCache>
                <c:ptCount val="8"/>
                <c:lvl>
                  <c:pt idx="0">
                    <c:v>Customer</c:v>
                  </c:pt>
                  <c:pt idx="1">
                    <c:v>Service Provider</c:v>
                  </c:pt>
                  <c:pt idx="2">
                    <c:v>Admin / Ops</c:v>
                  </c:pt>
                  <c:pt idx="3">
                    <c:v>Costing</c:v>
                  </c:pt>
                  <c:pt idx="4">
                    <c:v>Reports &amp; Analytics</c:v>
                  </c:pt>
                  <c:pt idx="5">
                    <c:v>Backend / Infra</c:v>
                  </c:pt>
                  <c:pt idx="6">
                    <c:v>TOTAL</c:v>
                  </c:pt>
                  <c:pt idx="7">
                    <c:v>Bug_Issue_Tracker</c:v>
                  </c:pt>
                </c:lvl>
                <c:lvl>
                  <c:pt idx="0">
                    <c:v>6</c:v>
                  </c:pt>
                  <c:pt idx="1">
                    <c:v>5</c:v>
                  </c:pt>
                  <c:pt idx="2">
                    <c:v>4</c:v>
                  </c:pt>
                  <c:pt idx="3">
                    <c:v>5</c:v>
                  </c:pt>
                  <c:pt idx="4">
                    <c:v>5</c:v>
                  </c:pt>
                  <c:pt idx="5">
                    <c:v>3</c:v>
                  </c:pt>
                  <c:pt idx="6">
                    <c:v>28</c:v>
                  </c:pt>
                  <c:pt idx="7">
                    <c:v>1</c:v>
                  </c:pt>
                </c:lvl>
                <c:lvl>
                  <c:pt idx="0">
                    <c:v>4</c:v>
                  </c:pt>
                  <c:pt idx="1">
                    <c:v>3</c:v>
                  </c:pt>
                  <c:pt idx="2">
                    <c:v>5</c:v>
                  </c:pt>
                  <c:pt idx="3">
                    <c:v>1</c:v>
                  </c:pt>
                  <c:pt idx="4">
                    <c:v>1</c:v>
                  </c:pt>
                  <c:pt idx="5">
                    <c:v>5</c:v>
                  </c:pt>
                  <c:pt idx="6">
                    <c:v>19</c:v>
                  </c:pt>
                  <c:pt idx="7">
                    <c:v>2</c:v>
                  </c:pt>
                </c:lvl>
                <c:lvl>
                  <c:pt idx="0">
                    <c:v>10</c:v>
                  </c:pt>
                  <c:pt idx="1">
                    <c:v>8</c:v>
                  </c:pt>
                  <c:pt idx="2">
                    <c:v>9</c:v>
                  </c:pt>
                  <c:pt idx="3">
                    <c:v>6</c:v>
                  </c:pt>
                  <c:pt idx="4">
                    <c:v>6</c:v>
                  </c:pt>
                  <c:pt idx="5">
                    <c:v>8</c:v>
                  </c:pt>
                  <c:pt idx="6">
                    <c:v>47</c:v>
                  </c:pt>
                  <c:pt idx="7">
                    <c:v>99</c:v>
                  </c:pt>
                </c:lvl>
                <c:lvl>
                  <c:pt idx="0">
                    <c:v>Customer</c:v>
                  </c:pt>
                  <c:pt idx="1">
                    <c:v>Service Provider</c:v>
                  </c:pt>
                  <c:pt idx="2">
                    <c:v>Admin / Ops</c:v>
                  </c:pt>
                  <c:pt idx="3">
                    <c:v>Costing</c:v>
                  </c:pt>
                  <c:pt idx="4">
                    <c:v>Reports &amp; Analytics</c:v>
                  </c:pt>
                  <c:pt idx="5">
                    <c:v>Backend / Infra</c:v>
                  </c:pt>
                  <c:pt idx="6">
                    <c:v>TOTAL</c:v>
                  </c:pt>
                  <c:pt idx="7">
                    <c:v>Bug_Issue_Tracker</c:v>
                  </c:pt>
                </c:lvl>
              </c:multiLvlStrCache>
            </c:multiLvlStrRef>
          </c:cat>
          <c:val>
            <c:numRef>
              <c:f>'Dashboard Summary'!$G$2:$G$9</c:f>
              <c:numCache>
                <c:formatCode>General</c:formatCode>
                <c:ptCount val="8"/>
                <c:pt idx="0">
                  <c:v>0.66666666666666796</c:v>
                </c:pt>
                <c:pt idx="1">
                  <c:v>0.83333333333333204</c:v>
                </c:pt>
                <c:pt idx="2">
                  <c:v>-1.5</c:v>
                </c:pt>
                <c:pt idx="3">
                  <c:v>2.5</c:v>
                </c:pt>
                <c:pt idx="4">
                  <c:v>2.5</c:v>
                </c:pt>
                <c:pt idx="5">
                  <c:v>-2.1666666666666701</c:v>
                </c:pt>
                <c:pt idx="6">
                  <c:v>2.8333333333333299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0-46DB-9499-4D7B8C44B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'Dashboard Summary'!$B$1</c:f>
              <c:strCache>
                <c:ptCount val="1"/>
                <c:pt idx="0">
                  <c:v>Total Tasks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'Dashboard Summary'!$A$2:$A$8</c:f>
              <c:strCache>
                <c:ptCount val="7"/>
                <c:pt idx="0">
                  <c:v>Customer</c:v>
                </c:pt>
                <c:pt idx="1">
                  <c:v>Service Provider</c:v>
                </c:pt>
                <c:pt idx="2">
                  <c:v>Admin / Ops</c:v>
                </c:pt>
                <c:pt idx="3">
                  <c:v>Costing</c:v>
                </c:pt>
                <c:pt idx="4">
                  <c:v>Reports &amp; Analytics</c:v>
                </c:pt>
                <c:pt idx="5">
                  <c:v>Backend / Infra</c:v>
                </c:pt>
                <c:pt idx="6">
                  <c:v>TOTAL</c:v>
                </c:pt>
              </c:strCache>
            </c:strRef>
          </c:cat>
          <c:val>
            <c:numRef>
              <c:f>'Dashboard Summary'!$B$2:$B$8</c:f>
              <c:numCache>
                <c:formatCode>General</c:formatCode>
                <c:ptCount val="7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3-4C9B-9144-5508913F7900}"/>
            </c:ext>
          </c:extLst>
        </c:ser>
        <c:ser>
          <c:idx val="1"/>
          <c:order val="1"/>
          <c:tx>
            <c:strRef>
              <c:f>'Dashboard Summary'!$C$1</c:f>
              <c:strCache>
                <c:ptCount val="1"/>
                <c:pt idx="0">
                  <c:v>Completed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'Dashboard Summary'!$A$2:$A$8</c:f>
              <c:strCache>
                <c:ptCount val="7"/>
                <c:pt idx="0">
                  <c:v>Customer</c:v>
                </c:pt>
                <c:pt idx="1">
                  <c:v>Service Provider</c:v>
                </c:pt>
                <c:pt idx="2">
                  <c:v>Admin / Ops</c:v>
                </c:pt>
                <c:pt idx="3">
                  <c:v>Costing</c:v>
                </c:pt>
                <c:pt idx="4">
                  <c:v>Reports &amp; Analytics</c:v>
                </c:pt>
                <c:pt idx="5">
                  <c:v>Backend / Infra</c:v>
                </c:pt>
                <c:pt idx="6">
                  <c:v>TOTAL</c:v>
                </c:pt>
              </c:strCache>
            </c:strRef>
          </c:cat>
          <c:val>
            <c:numRef>
              <c:f>'Dashboard Summary'!$C$2:$C$8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3-4C9B-9144-5508913F7900}"/>
            </c:ext>
          </c:extLst>
        </c:ser>
        <c:ser>
          <c:idx val="2"/>
          <c:order val="2"/>
          <c:tx>
            <c:strRef>
              <c:f>'Dashboard Summary'!$D$1</c:f>
              <c:strCache>
                <c:ptCount val="1"/>
                <c:pt idx="0">
                  <c:v>Pending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'Dashboard Summary'!$A$2:$A$8</c:f>
              <c:strCache>
                <c:ptCount val="7"/>
                <c:pt idx="0">
                  <c:v>Customer</c:v>
                </c:pt>
                <c:pt idx="1">
                  <c:v>Service Provider</c:v>
                </c:pt>
                <c:pt idx="2">
                  <c:v>Admin / Ops</c:v>
                </c:pt>
                <c:pt idx="3">
                  <c:v>Costing</c:v>
                </c:pt>
                <c:pt idx="4">
                  <c:v>Reports &amp; Analytics</c:v>
                </c:pt>
                <c:pt idx="5">
                  <c:v>Backend / Infra</c:v>
                </c:pt>
                <c:pt idx="6">
                  <c:v>TOTAL</c:v>
                </c:pt>
              </c:strCache>
            </c:strRef>
          </c:cat>
          <c:val>
            <c:numRef>
              <c:f>'Dashboard Summary'!$D$2:$D$8</c:f>
              <c:numCache>
                <c:formatCode>General</c:formatCode>
                <c:ptCount val="7"/>
                <c:pt idx="0">
                  <c:v>6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23-4C9B-9144-5508913F7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419100</xdr:colOff>
      <xdr:row>1</xdr:row>
      <xdr:rowOff>14287</xdr:rowOff>
    </xdr:from>
    <xdr:to>
      <xdr:col>26</xdr:col>
      <xdr:colOff>114300</xdr:colOff>
      <xdr:row>15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302245-DE6A-44FC-A755-F0F9D7EBA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647700</xdr:colOff>
      <xdr:row>10</xdr:row>
      <xdr:rowOff>128587</xdr:rowOff>
    </xdr:from>
    <xdr:to>
      <xdr:col>10</xdr:col>
      <xdr:colOff>209550</xdr:colOff>
      <xdr:row>25</xdr:row>
      <xdr:rowOff>14287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1ED1732-85F3-4CCF-A5F6-52800F31EC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Normal="100" workbookViewId="0">
      <selection activeCell="N7" sqref="N7"/>
    </sheetView>
  </sheetViews>
  <sheetFormatPr defaultRowHeight="15" x14ac:dyDescent="0.25"/>
  <cols>
    <col min="1" max="1" width="18.42578125" style="8" customWidth="1"/>
    <col min="2" max="4" width="9.140625" style="8"/>
    <col min="5" max="5" width="18.42578125" style="8" bestFit="1" customWidth="1"/>
    <col min="6" max="6" width="12" style="8" bestFit="1" customWidth="1"/>
    <col min="7" max="7" width="14.85546875" style="8" bestFit="1" customWidth="1"/>
    <col min="8" max="8" width="11.42578125" style="8" customWidth="1"/>
    <col min="9" max="9" width="12.5703125" style="8" customWidth="1"/>
    <col min="10" max="10" width="24.28515625" style="8" customWidth="1"/>
    <col min="11" max="16384" width="9.140625" style="8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10" x14ac:dyDescent="0.25">
      <c r="A2" s="8" t="s">
        <v>7</v>
      </c>
      <c r="B2" s="8">
        <v>10</v>
      </c>
      <c r="C2" s="8">
        <v>4</v>
      </c>
      <c r="D2" s="8">
        <v>6</v>
      </c>
      <c r="E2" s="8" t="s">
        <v>7</v>
      </c>
      <c r="F2" s="8">
        <v>2.6666666666666701</v>
      </c>
      <c r="G2" s="8">
        <v>0.66666666666666796</v>
      </c>
      <c r="H2" s="8" t="s">
        <v>8</v>
      </c>
      <c r="I2" s="8" t="s">
        <v>9</v>
      </c>
      <c r="J2" s="8" t="s">
        <v>10</v>
      </c>
    </row>
    <row r="3" spans="1:10" x14ac:dyDescent="0.25">
      <c r="A3" s="8" t="s">
        <v>11</v>
      </c>
      <c r="B3" s="8">
        <v>8</v>
      </c>
      <c r="C3" s="8">
        <v>3</v>
      </c>
      <c r="D3" s="8">
        <v>5</v>
      </c>
      <c r="E3" s="8" t="s">
        <v>11</v>
      </c>
      <c r="F3" s="8">
        <v>2.3333333333333299</v>
      </c>
      <c r="G3" s="8">
        <v>0.83333333333333204</v>
      </c>
      <c r="H3" s="8" t="s">
        <v>8</v>
      </c>
      <c r="I3" s="8" t="s">
        <v>9</v>
      </c>
      <c r="J3" s="8" t="s">
        <v>12</v>
      </c>
    </row>
    <row r="4" spans="1:10" x14ac:dyDescent="0.25">
      <c r="A4" s="8" t="s">
        <v>13</v>
      </c>
      <c r="B4" s="8">
        <v>9</v>
      </c>
      <c r="C4" s="8">
        <v>5</v>
      </c>
      <c r="D4" s="8">
        <v>4</v>
      </c>
      <c r="E4" s="8" t="s">
        <v>13</v>
      </c>
      <c r="F4" s="8">
        <v>1</v>
      </c>
      <c r="G4" s="8">
        <v>-1.5</v>
      </c>
      <c r="H4" s="8" t="s">
        <v>8</v>
      </c>
      <c r="I4" s="8" t="s">
        <v>14</v>
      </c>
      <c r="J4" s="8" t="s">
        <v>15</v>
      </c>
    </row>
    <row r="5" spans="1:10" x14ac:dyDescent="0.25">
      <c r="A5" s="8" t="s">
        <v>16</v>
      </c>
      <c r="B5" s="8">
        <v>6</v>
      </c>
      <c r="C5" s="8">
        <v>1</v>
      </c>
      <c r="D5" s="8">
        <v>5</v>
      </c>
      <c r="E5" s="8" t="s">
        <v>16</v>
      </c>
      <c r="F5" s="8">
        <v>3</v>
      </c>
      <c r="G5" s="8">
        <v>2.5</v>
      </c>
      <c r="H5" s="8" t="s">
        <v>8</v>
      </c>
      <c r="I5" s="8" t="s">
        <v>17</v>
      </c>
      <c r="J5" s="8" t="s">
        <v>18</v>
      </c>
    </row>
    <row r="6" spans="1:10" x14ac:dyDescent="0.25">
      <c r="A6" s="8" t="s">
        <v>19</v>
      </c>
      <c r="B6" s="8">
        <v>6</v>
      </c>
      <c r="C6" s="8">
        <v>1</v>
      </c>
      <c r="D6" s="8">
        <v>5</v>
      </c>
      <c r="E6" s="8" t="s">
        <v>19</v>
      </c>
      <c r="F6" s="8">
        <v>3</v>
      </c>
      <c r="G6" s="8">
        <v>2.5</v>
      </c>
      <c r="H6" s="8" t="s">
        <v>8</v>
      </c>
      <c r="I6" s="8" t="s">
        <v>17</v>
      </c>
      <c r="J6" s="8" t="s">
        <v>20</v>
      </c>
    </row>
    <row r="7" spans="1:10" x14ac:dyDescent="0.25">
      <c r="A7" s="8" t="s">
        <v>21</v>
      </c>
      <c r="B7" s="8">
        <v>8</v>
      </c>
      <c r="C7" s="8">
        <v>5</v>
      </c>
      <c r="D7" s="8">
        <v>3</v>
      </c>
      <c r="E7" s="8" t="s">
        <v>21</v>
      </c>
      <c r="F7" s="8">
        <v>0.33333333333333398</v>
      </c>
      <c r="G7" s="8">
        <v>-2.1666666666666701</v>
      </c>
      <c r="H7" s="8" t="s">
        <v>8</v>
      </c>
      <c r="I7" s="8" t="s">
        <v>22</v>
      </c>
      <c r="J7" s="8" t="s">
        <v>23</v>
      </c>
    </row>
    <row r="8" spans="1:10" x14ac:dyDescent="0.25">
      <c r="A8" s="8" t="s">
        <v>24</v>
      </c>
      <c r="B8" s="8">
        <f>SUM(B2:B7)</f>
        <v>47</v>
      </c>
      <c r="C8" s="8">
        <f>SUM(C2:C7)</f>
        <v>19</v>
      </c>
      <c r="D8" s="8">
        <f>SUM(D2:D7)</f>
        <v>28</v>
      </c>
      <c r="E8" s="8" t="s">
        <v>24</v>
      </c>
      <c r="F8" s="8">
        <f>SUM(F2:F7)</f>
        <v>12.333333333333334</v>
      </c>
      <c r="G8" s="8">
        <f>SUM(G2:G7)</f>
        <v>2.8333333333333299</v>
      </c>
      <c r="H8" s="8" t="s">
        <v>8</v>
      </c>
    </row>
    <row r="9" spans="1:10" x14ac:dyDescent="0.25">
      <c r="A9" s="8" t="s">
        <v>25</v>
      </c>
      <c r="B9" s="8">
        <f>COUNTA(Bug_Issue_Tracker!A2:A100)</f>
        <v>99</v>
      </c>
      <c r="C9" s="8">
        <f>COUNTIF(Bug_Issue_Tracker!H2:H100,"Resolved")</f>
        <v>2</v>
      </c>
      <c r="D9" s="8">
        <f>COUNTIF(Bug_Issue_Tracker!H2:H100,"Open")</f>
        <v>1</v>
      </c>
      <c r="E9" s="8" t="s">
        <v>25</v>
      </c>
      <c r="F9" s="8">
        <f>COUNTA(Bug_Issue_Tracker!E2:E100)</f>
        <v>3</v>
      </c>
      <c r="G9" s="8">
        <f>COUNTIF(Bug_Issue_Tracker!L2:L100,"Resolved")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abSelected="1" zoomScaleNormal="100" workbookViewId="0">
      <selection sqref="A1:K8"/>
    </sheetView>
  </sheetViews>
  <sheetFormatPr defaultRowHeight="15" x14ac:dyDescent="0.25"/>
  <cols>
    <col min="2" max="2" width="18.42578125" bestFit="1" customWidth="1"/>
    <col min="3" max="3" width="18" bestFit="1" customWidth="1"/>
    <col min="6" max="6" width="10.7109375" bestFit="1" customWidth="1"/>
    <col min="7" max="7" width="11.140625" bestFit="1" customWidth="1"/>
  </cols>
  <sheetData>
    <row r="1" spans="1:10" x14ac:dyDescent="0.25">
      <c r="A1" t="s">
        <v>41</v>
      </c>
      <c r="B1" t="s">
        <v>0</v>
      </c>
      <c r="C1" t="s">
        <v>76</v>
      </c>
      <c r="D1" t="s">
        <v>46</v>
      </c>
      <c r="E1" t="s">
        <v>47</v>
      </c>
      <c r="F1" t="s">
        <v>77</v>
      </c>
      <c r="G1" t="s">
        <v>78</v>
      </c>
      <c r="H1" t="s">
        <v>4</v>
      </c>
      <c r="I1" t="s">
        <v>5</v>
      </c>
      <c r="J1" t="s">
        <v>79</v>
      </c>
    </row>
    <row r="2" spans="1:10" x14ac:dyDescent="0.25">
      <c r="A2" t="s">
        <v>80</v>
      </c>
      <c r="B2" t="s">
        <v>7</v>
      </c>
      <c r="C2" t="s">
        <v>81</v>
      </c>
      <c r="D2" t="s">
        <v>82</v>
      </c>
      <c r="E2" t="s">
        <v>53</v>
      </c>
      <c r="F2" s="7">
        <v>45958</v>
      </c>
      <c r="G2" s="7">
        <v>45959</v>
      </c>
      <c r="H2">
        <v>100</v>
      </c>
      <c r="I2" t="s">
        <v>83</v>
      </c>
      <c r="J2" t="s">
        <v>84</v>
      </c>
    </row>
    <row r="3" spans="1:10" x14ac:dyDescent="0.25">
      <c r="A3" t="s">
        <v>85</v>
      </c>
      <c r="B3" t="s">
        <v>7</v>
      </c>
      <c r="C3" t="s">
        <v>86</v>
      </c>
      <c r="D3" t="s">
        <v>87</v>
      </c>
      <c r="E3" t="s">
        <v>53</v>
      </c>
      <c r="F3" s="7">
        <v>45963</v>
      </c>
      <c r="G3" s="7">
        <v>45964</v>
      </c>
      <c r="H3">
        <v>0</v>
      </c>
      <c r="I3" t="s">
        <v>88</v>
      </c>
      <c r="J3" t="s">
        <v>89</v>
      </c>
    </row>
    <row r="4" spans="1:10" x14ac:dyDescent="0.25">
      <c r="A4" t="s">
        <v>90</v>
      </c>
      <c r="B4" t="s">
        <v>91</v>
      </c>
      <c r="C4" t="s">
        <v>92</v>
      </c>
      <c r="D4" t="s">
        <v>93</v>
      </c>
      <c r="E4" t="s">
        <v>53</v>
      </c>
      <c r="F4" s="7">
        <v>45964</v>
      </c>
      <c r="G4" s="7">
        <v>45965</v>
      </c>
      <c r="H4">
        <v>0</v>
      </c>
      <c r="I4" t="s">
        <v>88</v>
      </c>
    </row>
    <row r="5" spans="1:10" x14ac:dyDescent="0.25">
      <c r="A5" t="s">
        <v>94</v>
      </c>
      <c r="B5" t="s">
        <v>13</v>
      </c>
      <c r="C5" t="s">
        <v>95</v>
      </c>
      <c r="D5" t="s">
        <v>96</v>
      </c>
      <c r="E5" t="s">
        <v>53</v>
      </c>
      <c r="F5" s="7">
        <v>45965</v>
      </c>
      <c r="G5" s="7">
        <v>45966</v>
      </c>
      <c r="H5">
        <v>50</v>
      </c>
      <c r="I5" t="s">
        <v>97</v>
      </c>
      <c r="J5" t="s">
        <v>98</v>
      </c>
    </row>
    <row r="6" spans="1:10" x14ac:dyDescent="0.25">
      <c r="A6" t="s">
        <v>99</v>
      </c>
      <c r="B6" t="s">
        <v>16</v>
      </c>
      <c r="C6" t="s">
        <v>100</v>
      </c>
      <c r="D6" t="s">
        <v>101</v>
      </c>
      <c r="E6" t="s">
        <v>53</v>
      </c>
      <c r="F6" s="7">
        <v>45966</v>
      </c>
      <c r="G6" s="7">
        <v>45967</v>
      </c>
      <c r="H6">
        <v>0</v>
      </c>
      <c r="I6" t="s">
        <v>88</v>
      </c>
    </row>
    <row r="7" spans="1:10" x14ac:dyDescent="0.25">
      <c r="A7" t="s">
        <v>102</v>
      </c>
      <c r="B7" t="s">
        <v>19</v>
      </c>
      <c r="C7" t="s">
        <v>103</v>
      </c>
      <c r="D7" t="s">
        <v>104</v>
      </c>
      <c r="E7" t="s">
        <v>53</v>
      </c>
      <c r="F7" s="7">
        <v>45967</v>
      </c>
      <c r="G7" s="7">
        <v>45968</v>
      </c>
      <c r="H7">
        <v>0</v>
      </c>
      <c r="I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>
      <selection sqref="A1:A1048576"/>
    </sheetView>
  </sheetViews>
  <sheetFormatPr defaultRowHeight="15" x14ac:dyDescent="0.25"/>
  <sheetData>
    <row r="1" spans="1:5" x14ac:dyDescent="0.25">
      <c r="A1" t="s">
        <v>105</v>
      </c>
      <c r="B1" t="s">
        <v>46</v>
      </c>
      <c r="C1" t="s">
        <v>78</v>
      </c>
      <c r="D1" t="s">
        <v>5</v>
      </c>
      <c r="E1" t="s">
        <v>106</v>
      </c>
    </row>
    <row r="2" spans="1:5" x14ac:dyDescent="0.25">
      <c r="A2" t="s">
        <v>107</v>
      </c>
      <c r="B2" t="s">
        <v>108</v>
      </c>
      <c r="C2" s="7">
        <v>45960</v>
      </c>
      <c r="D2" t="s">
        <v>83</v>
      </c>
      <c r="E2" t="s">
        <v>109</v>
      </c>
    </row>
    <row r="3" spans="1:5" x14ac:dyDescent="0.25">
      <c r="A3" t="s">
        <v>110</v>
      </c>
      <c r="B3" t="s">
        <v>111</v>
      </c>
      <c r="C3" s="7">
        <v>45961</v>
      </c>
      <c r="D3" t="s">
        <v>83</v>
      </c>
      <c r="E3" t="s">
        <v>112</v>
      </c>
    </row>
    <row r="4" spans="1:5" x14ac:dyDescent="0.25">
      <c r="A4" t="s">
        <v>113</v>
      </c>
      <c r="B4" t="s">
        <v>114</v>
      </c>
      <c r="C4" s="7">
        <v>45961</v>
      </c>
      <c r="D4" t="s">
        <v>9</v>
      </c>
      <c r="E4" t="s">
        <v>115</v>
      </c>
    </row>
    <row r="5" spans="1:5" x14ac:dyDescent="0.25">
      <c r="A5" t="s">
        <v>116</v>
      </c>
      <c r="B5" t="s">
        <v>117</v>
      </c>
      <c r="C5" s="7">
        <v>45961</v>
      </c>
      <c r="D5" t="s">
        <v>9</v>
      </c>
      <c r="E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zoomScaleNormal="100" workbookViewId="0">
      <selection sqref="A1:A1048576"/>
    </sheetView>
  </sheetViews>
  <sheetFormatPr defaultRowHeight="15" x14ac:dyDescent="0.25"/>
  <sheetData>
    <row r="1" spans="1:5" x14ac:dyDescent="0.25">
      <c r="A1" t="s">
        <v>119</v>
      </c>
      <c r="B1" t="s">
        <v>120</v>
      </c>
      <c r="C1" t="s">
        <v>46</v>
      </c>
      <c r="D1" t="s">
        <v>121</v>
      </c>
      <c r="E1" t="s">
        <v>5</v>
      </c>
    </row>
    <row r="2" spans="1:5" x14ac:dyDescent="0.25">
      <c r="A2" s="7">
        <v>45960</v>
      </c>
      <c r="B2" t="s">
        <v>122</v>
      </c>
      <c r="C2" t="s">
        <v>123</v>
      </c>
      <c r="D2" t="s">
        <v>53</v>
      </c>
      <c r="E2" t="s">
        <v>83</v>
      </c>
    </row>
    <row r="3" spans="1:5" x14ac:dyDescent="0.25">
      <c r="A3" s="7">
        <v>45961</v>
      </c>
      <c r="B3" t="s">
        <v>124</v>
      </c>
      <c r="C3" t="s">
        <v>125</v>
      </c>
      <c r="D3" t="s">
        <v>53</v>
      </c>
      <c r="E3" t="s">
        <v>83</v>
      </c>
    </row>
    <row r="4" spans="1:5" x14ac:dyDescent="0.25">
      <c r="A4" s="7">
        <v>45961</v>
      </c>
      <c r="B4" t="s">
        <v>126</v>
      </c>
      <c r="C4" t="s">
        <v>127</v>
      </c>
      <c r="D4" t="s">
        <v>53</v>
      </c>
      <c r="E4" t="s">
        <v>83</v>
      </c>
    </row>
    <row r="5" spans="1:5" x14ac:dyDescent="0.25">
      <c r="A5" s="7">
        <v>45962</v>
      </c>
      <c r="B5" t="s">
        <v>128</v>
      </c>
      <c r="C5" t="s">
        <v>129</v>
      </c>
      <c r="D5" t="s">
        <v>53</v>
      </c>
      <c r="E5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zoomScaleNormal="100" workbookViewId="0">
      <selection sqref="A1:A1048576"/>
    </sheetView>
  </sheetViews>
  <sheetFormatPr defaultRowHeight="15" x14ac:dyDescent="0.25"/>
  <sheetData>
    <row r="1" spans="1:5" x14ac:dyDescent="0.25">
      <c r="A1" t="s">
        <v>130</v>
      </c>
      <c r="B1" t="s">
        <v>76</v>
      </c>
      <c r="C1" t="s">
        <v>47</v>
      </c>
      <c r="D1" t="s">
        <v>131</v>
      </c>
      <c r="E1" t="s">
        <v>5</v>
      </c>
    </row>
    <row r="2" spans="1:5" x14ac:dyDescent="0.25">
      <c r="A2" t="s">
        <v>55</v>
      </c>
      <c r="B2" t="s">
        <v>132</v>
      </c>
      <c r="C2" t="s">
        <v>53</v>
      </c>
      <c r="D2" s="7">
        <v>45962</v>
      </c>
      <c r="E2" t="s">
        <v>88</v>
      </c>
    </row>
    <row r="3" spans="1:5" x14ac:dyDescent="0.25">
      <c r="A3" t="s">
        <v>55</v>
      </c>
      <c r="B3" t="s">
        <v>133</v>
      </c>
      <c r="C3" t="s">
        <v>53</v>
      </c>
      <c r="D3" s="7">
        <v>45962</v>
      </c>
      <c r="E3" t="s">
        <v>88</v>
      </c>
    </row>
    <row r="4" spans="1:5" x14ac:dyDescent="0.25">
      <c r="A4" t="s">
        <v>62</v>
      </c>
      <c r="B4" t="s">
        <v>134</v>
      </c>
      <c r="C4" t="s">
        <v>53</v>
      </c>
      <c r="D4" s="7">
        <v>45963</v>
      </c>
      <c r="E4" t="s">
        <v>88</v>
      </c>
    </row>
    <row r="5" spans="1:5" x14ac:dyDescent="0.25">
      <c r="A5" t="s">
        <v>62</v>
      </c>
      <c r="B5" t="s">
        <v>135</v>
      </c>
      <c r="C5" t="s">
        <v>53</v>
      </c>
      <c r="D5" s="7">
        <v>45964</v>
      </c>
      <c r="E5" t="s">
        <v>88</v>
      </c>
    </row>
    <row r="6" spans="1:5" x14ac:dyDescent="0.25">
      <c r="A6" t="s">
        <v>62</v>
      </c>
      <c r="B6" t="s">
        <v>136</v>
      </c>
      <c r="C6" t="s">
        <v>53</v>
      </c>
      <c r="D6" s="7">
        <v>45965</v>
      </c>
      <c r="E6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zoomScaleNormal="100" workbookViewId="0">
      <selection activeCell="A2" sqref="A2"/>
    </sheetView>
  </sheetViews>
  <sheetFormatPr defaultRowHeight="15" x14ac:dyDescent="0.25"/>
  <cols>
    <col min="1" max="1" width="116.42578125" bestFit="1" customWidth="1"/>
  </cols>
  <sheetData>
    <row r="1" spans="1:2" x14ac:dyDescent="0.25">
      <c r="A1" t="s">
        <v>26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32</v>
      </c>
      <c r="B7">
        <f>COUNTA(Bug_Issue_Tracker!A2:A100)</f>
        <v>99</v>
      </c>
    </row>
    <row r="8" spans="1:2" x14ac:dyDescent="0.25">
      <c r="A8" t="s">
        <v>33</v>
      </c>
      <c r="B8">
        <f>COUNTIF(Bug_Issue_Tracker!H2:H100,"Open")</f>
        <v>1</v>
      </c>
    </row>
    <row r="9" spans="1:2" x14ac:dyDescent="0.25">
      <c r="A9" t="s">
        <v>34</v>
      </c>
      <c r="B9">
        <f>COUNTIF(Bug_Issue_Tracker!H2:H100,"Resolved")</f>
        <v>2</v>
      </c>
    </row>
    <row r="10" spans="1:2" x14ac:dyDescent="0.25">
      <c r="A10" t="s">
        <v>35</v>
      </c>
      <c r="B10">
        <f ca="1">COUNTIF(Bug_Issue_Tracker!N2:N100,"⚠️ Yes")</f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zoomScaleNormal="100" workbookViewId="0">
      <selection activeCell="P31" sqref="P31"/>
    </sheetView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0"/>
  <sheetViews>
    <sheetView topLeftCell="B1" workbookViewId="0"/>
  </sheetViews>
  <sheetFormatPr defaultRowHeight="15" x14ac:dyDescent="0.25"/>
  <cols>
    <col min="1" max="14" width="20" customWidth="1"/>
  </cols>
  <sheetData>
    <row r="1" spans="1:14" s="1" customFormat="1" x14ac:dyDescent="0.25">
      <c r="A1" s="1" t="s">
        <v>41</v>
      </c>
      <c r="B1" s="1" t="s">
        <v>0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5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25">
      <c r="A2" t="str">
        <f t="shared" ref="A2:A33" si="0">IF(B2&lt;&gt;"","B"&amp;TEXT(ROW(A2)-1,"000"),"")</f>
        <v>B001</v>
      </c>
      <c r="B2" t="s">
        <v>7</v>
      </c>
      <c r="C2" t="s">
        <v>53</v>
      </c>
      <c r="D2" t="s">
        <v>54</v>
      </c>
      <c r="E2" s="2" t="s">
        <v>55</v>
      </c>
      <c r="F2" t="s">
        <v>56</v>
      </c>
      <c r="G2" t="s">
        <v>57</v>
      </c>
      <c r="H2" s="3" t="s">
        <v>58</v>
      </c>
      <c r="I2" t="s">
        <v>59</v>
      </c>
      <c r="J2" t="s">
        <v>54</v>
      </c>
      <c r="K2" t="s">
        <v>54</v>
      </c>
      <c r="L2" t="s">
        <v>60</v>
      </c>
      <c r="M2">
        <f t="shared" ref="M2:M33" ca="1" si="1">IF(K2="",TODAY()-D2,K2-D2)</f>
        <v>0</v>
      </c>
      <c r="N2" t="str">
        <f t="shared" ref="N2:N33" ca="1" si="2">IF(AND(K2="",J2&lt;TODAY()),"⚠️ Yes","No")</f>
        <v>No</v>
      </c>
    </row>
    <row r="3" spans="1:14" x14ac:dyDescent="0.25">
      <c r="A3" t="str">
        <f t="shared" si="0"/>
        <v>B002</v>
      </c>
      <c r="B3" t="s">
        <v>61</v>
      </c>
      <c r="C3" t="s">
        <v>53</v>
      </c>
      <c r="D3" t="s">
        <v>54</v>
      </c>
      <c r="E3" s="4" t="s">
        <v>62</v>
      </c>
      <c r="F3" t="s">
        <v>63</v>
      </c>
      <c r="G3" t="s">
        <v>64</v>
      </c>
      <c r="H3" s="3" t="s">
        <v>58</v>
      </c>
      <c r="I3" t="s">
        <v>65</v>
      </c>
      <c r="J3" t="s">
        <v>54</v>
      </c>
      <c r="K3" t="s">
        <v>54</v>
      </c>
      <c r="L3" t="s">
        <v>66</v>
      </c>
      <c r="M3">
        <f t="shared" ca="1" si="1"/>
        <v>0</v>
      </c>
      <c r="N3" t="str">
        <f t="shared" ca="1" si="2"/>
        <v>No</v>
      </c>
    </row>
    <row r="4" spans="1:14" x14ac:dyDescent="0.25">
      <c r="A4" t="str">
        <f t="shared" si="0"/>
        <v>B003</v>
      </c>
      <c r="B4" t="s">
        <v>67</v>
      </c>
      <c r="C4" t="s">
        <v>53</v>
      </c>
      <c r="D4" t="s">
        <v>68</v>
      </c>
      <c r="E4" s="5" t="s">
        <v>69</v>
      </c>
      <c r="F4" t="s">
        <v>70</v>
      </c>
      <c r="G4" t="s">
        <v>71</v>
      </c>
      <c r="H4" s="6" t="s">
        <v>72</v>
      </c>
      <c r="I4" t="s">
        <v>59</v>
      </c>
      <c r="J4" t="s">
        <v>73</v>
      </c>
      <c r="K4" t="s">
        <v>74</v>
      </c>
      <c r="L4" t="s">
        <v>75</v>
      </c>
      <c r="M4">
        <f t="shared" ca="1" si="1"/>
        <v>-1</v>
      </c>
      <c r="N4" t="str">
        <f t="shared" ca="1" si="2"/>
        <v>No</v>
      </c>
    </row>
    <row r="5" spans="1:14" x14ac:dyDescent="0.25">
      <c r="A5" t="str">
        <f t="shared" si="0"/>
        <v/>
      </c>
      <c r="M5">
        <f t="shared" ca="1" si="1"/>
        <v>45961</v>
      </c>
      <c r="N5" t="str">
        <f t="shared" ca="1" si="2"/>
        <v>⚠️ Yes</v>
      </c>
    </row>
    <row r="6" spans="1:14" x14ac:dyDescent="0.25">
      <c r="A6" t="str">
        <f t="shared" si="0"/>
        <v/>
      </c>
      <c r="M6">
        <f t="shared" ca="1" si="1"/>
        <v>45961</v>
      </c>
      <c r="N6" t="str">
        <f t="shared" ca="1" si="2"/>
        <v>⚠️ Yes</v>
      </c>
    </row>
    <row r="7" spans="1:14" x14ac:dyDescent="0.25">
      <c r="A7" t="str">
        <f t="shared" si="0"/>
        <v/>
      </c>
      <c r="M7">
        <f t="shared" ca="1" si="1"/>
        <v>45961</v>
      </c>
      <c r="N7" t="str">
        <f t="shared" ca="1" si="2"/>
        <v>⚠️ Yes</v>
      </c>
    </row>
    <row r="8" spans="1:14" x14ac:dyDescent="0.25">
      <c r="A8" t="str">
        <f t="shared" si="0"/>
        <v/>
      </c>
      <c r="M8">
        <f t="shared" ca="1" si="1"/>
        <v>45961</v>
      </c>
      <c r="N8" t="str">
        <f t="shared" ca="1" si="2"/>
        <v>⚠️ Yes</v>
      </c>
    </row>
    <row r="9" spans="1:14" x14ac:dyDescent="0.25">
      <c r="A9" t="str">
        <f t="shared" si="0"/>
        <v/>
      </c>
      <c r="M9">
        <f t="shared" ca="1" si="1"/>
        <v>45961</v>
      </c>
      <c r="N9" t="str">
        <f t="shared" ca="1" si="2"/>
        <v>⚠️ Yes</v>
      </c>
    </row>
    <row r="10" spans="1:14" x14ac:dyDescent="0.25">
      <c r="A10" t="str">
        <f t="shared" si="0"/>
        <v/>
      </c>
      <c r="M10">
        <f t="shared" ca="1" si="1"/>
        <v>45961</v>
      </c>
      <c r="N10" t="str">
        <f t="shared" ca="1" si="2"/>
        <v>⚠️ Yes</v>
      </c>
    </row>
    <row r="11" spans="1:14" x14ac:dyDescent="0.25">
      <c r="A11" t="str">
        <f t="shared" si="0"/>
        <v/>
      </c>
      <c r="M11">
        <f t="shared" ca="1" si="1"/>
        <v>45961</v>
      </c>
      <c r="N11" t="str">
        <f t="shared" ca="1" si="2"/>
        <v>⚠️ Yes</v>
      </c>
    </row>
    <row r="12" spans="1:14" x14ac:dyDescent="0.25">
      <c r="A12" t="str">
        <f t="shared" si="0"/>
        <v/>
      </c>
      <c r="M12">
        <f t="shared" ca="1" si="1"/>
        <v>45961</v>
      </c>
      <c r="N12" t="str">
        <f t="shared" ca="1" si="2"/>
        <v>⚠️ Yes</v>
      </c>
    </row>
    <row r="13" spans="1:14" x14ac:dyDescent="0.25">
      <c r="A13" t="str">
        <f t="shared" si="0"/>
        <v/>
      </c>
      <c r="M13">
        <f t="shared" ca="1" si="1"/>
        <v>45961</v>
      </c>
      <c r="N13" t="str">
        <f t="shared" ca="1" si="2"/>
        <v>⚠️ Yes</v>
      </c>
    </row>
    <row r="14" spans="1:14" x14ac:dyDescent="0.25">
      <c r="A14" t="str">
        <f t="shared" si="0"/>
        <v/>
      </c>
      <c r="M14">
        <f t="shared" ca="1" si="1"/>
        <v>45961</v>
      </c>
      <c r="N14" t="str">
        <f t="shared" ca="1" si="2"/>
        <v>⚠️ Yes</v>
      </c>
    </row>
    <row r="15" spans="1:14" x14ac:dyDescent="0.25">
      <c r="A15" t="str">
        <f t="shared" si="0"/>
        <v/>
      </c>
      <c r="M15">
        <f t="shared" ca="1" si="1"/>
        <v>45961</v>
      </c>
      <c r="N15" t="str">
        <f t="shared" ca="1" si="2"/>
        <v>⚠️ Yes</v>
      </c>
    </row>
    <row r="16" spans="1:14" x14ac:dyDescent="0.25">
      <c r="A16" t="str">
        <f t="shared" si="0"/>
        <v/>
      </c>
      <c r="M16">
        <f t="shared" ca="1" si="1"/>
        <v>45961</v>
      </c>
      <c r="N16" t="str">
        <f t="shared" ca="1" si="2"/>
        <v>⚠️ Yes</v>
      </c>
    </row>
    <row r="17" spans="1:14" x14ac:dyDescent="0.25">
      <c r="A17" t="str">
        <f t="shared" si="0"/>
        <v/>
      </c>
      <c r="M17">
        <f t="shared" ca="1" si="1"/>
        <v>45961</v>
      </c>
      <c r="N17" t="str">
        <f t="shared" ca="1" si="2"/>
        <v>⚠️ Yes</v>
      </c>
    </row>
    <row r="18" spans="1:14" x14ac:dyDescent="0.25">
      <c r="A18" t="str">
        <f t="shared" si="0"/>
        <v/>
      </c>
      <c r="M18">
        <f t="shared" ca="1" si="1"/>
        <v>45961</v>
      </c>
      <c r="N18" t="str">
        <f t="shared" ca="1" si="2"/>
        <v>⚠️ Yes</v>
      </c>
    </row>
    <row r="19" spans="1:14" x14ac:dyDescent="0.25">
      <c r="A19" t="str">
        <f t="shared" si="0"/>
        <v/>
      </c>
      <c r="M19">
        <f t="shared" ca="1" si="1"/>
        <v>45961</v>
      </c>
      <c r="N19" t="str">
        <f t="shared" ca="1" si="2"/>
        <v>⚠️ Yes</v>
      </c>
    </row>
    <row r="20" spans="1:14" x14ac:dyDescent="0.25">
      <c r="A20" t="str">
        <f t="shared" si="0"/>
        <v/>
      </c>
      <c r="M20">
        <f t="shared" ca="1" si="1"/>
        <v>45961</v>
      </c>
      <c r="N20" t="str">
        <f t="shared" ca="1" si="2"/>
        <v>⚠️ Yes</v>
      </c>
    </row>
    <row r="21" spans="1:14" x14ac:dyDescent="0.25">
      <c r="A21" t="str">
        <f t="shared" si="0"/>
        <v/>
      </c>
      <c r="M21">
        <f t="shared" ca="1" si="1"/>
        <v>45961</v>
      </c>
      <c r="N21" t="str">
        <f t="shared" ca="1" si="2"/>
        <v>⚠️ Yes</v>
      </c>
    </row>
    <row r="22" spans="1:14" x14ac:dyDescent="0.25">
      <c r="A22" t="str">
        <f t="shared" si="0"/>
        <v/>
      </c>
      <c r="M22">
        <f t="shared" ca="1" si="1"/>
        <v>45961</v>
      </c>
      <c r="N22" t="str">
        <f t="shared" ca="1" si="2"/>
        <v>⚠️ Yes</v>
      </c>
    </row>
    <row r="23" spans="1:14" x14ac:dyDescent="0.25">
      <c r="A23" t="str">
        <f t="shared" si="0"/>
        <v/>
      </c>
      <c r="M23">
        <f t="shared" ca="1" si="1"/>
        <v>45961</v>
      </c>
      <c r="N23" t="str">
        <f t="shared" ca="1" si="2"/>
        <v>⚠️ Yes</v>
      </c>
    </row>
    <row r="24" spans="1:14" x14ac:dyDescent="0.25">
      <c r="A24" t="str">
        <f t="shared" si="0"/>
        <v/>
      </c>
      <c r="M24">
        <f t="shared" ca="1" si="1"/>
        <v>45961</v>
      </c>
      <c r="N24" t="str">
        <f t="shared" ca="1" si="2"/>
        <v>⚠️ Yes</v>
      </c>
    </row>
    <row r="25" spans="1:14" x14ac:dyDescent="0.25">
      <c r="A25" t="str">
        <f t="shared" si="0"/>
        <v/>
      </c>
      <c r="M25">
        <f t="shared" ca="1" si="1"/>
        <v>45961</v>
      </c>
      <c r="N25" t="str">
        <f t="shared" ca="1" si="2"/>
        <v>⚠️ Yes</v>
      </c>
    </row>
    <row r="26" spans="1:14" x14ac:dyDescent="0.25">
      <c r="A26" t="str">
        <f t="shared" si="0"/>
        <v/>
      </c>
      <c r="M26">
        <f t="shared" ca="1" si="1"/>
        <v>45961</v>
      </c>
      <c r="N26" t="str">
        <f t="shared" ca="1" si="2"/>
        <v>⚠️ Yes</v>
      </c>
    </row>
    <row r="27" spans="1:14" x14ac:dyDescent="0.25">
      <c r="A27" t="str">
        <f t="shared" si="0"/>
        <v/>
      </c>
      <c r="M27">
        <f t="shared" ca="1" si="1"/>
        <v>45961</v>
      </c>
      <c r="N27" t="str">
        <f t="shared" ca="1" si="2"/>
        <v>⚠️ Yes</v>
      </c>
    </row>
    <row r="28" spans="1:14" x14ac:dyDescent="0.25">
      <c r="A28" t="str">
        <f t="shared" si="0"/>
        <v/>
      </c>
      <c r="M28">
        <f t="shared" ca="1" si="1"/>
        <v>45961</v>
      </c>
      <c r="N28" t="str">
        <f t="shared" ca="1" si="2"/>
        <v>⚠️ Yes</v>
      </c>
    </row>
    <row r="29" spans="1:14" x14ac:dyDescent="0.25">
      <c r="A29" t="str">
        <f t="shared" si="0"/>
        <v/>
      </c>
      <c r="M29">
        <f t="shared" ca="1" si="1"/>
        <v>45961</v>
      </c>
      <c r="N29" t="str">
        <f t="shared" ca="1" si="2"/>
        <v>⚠️ Yes</v>
      </c>
    </row>
    <row r="30" spans="1:14" x14ac:dyDescent="0.25">
      <c r="A30" t="str">
        <f t="shared" si="0"/>
        <v/>
      </c>
      <c r="M30">
        <f t="shared" ca="1" si="1"/>
        <v>45961</v>
      </c>
      <c r="N30" t="str">
        <f t="shared" ca="1" si="2"/>
        <v>⚠️ Yes</v>
      </c>
    </row>
    <row r="31" spans="1:14" x14ac:dyDescent="0.25">
      <c r="A31" t="str">
        <f t="shared" si="0"/>
        <v/>
      </c>
      <c r="M31">
        <f t="shared" ca="1" si="1"/>
        <v>45961</v>
      </c>
      <c r="N31" t="str">
        <f t="shared" ca="1" si="2"/>
        <v>⚠️ Yes</v>
      </c>
    </row>
    <row r="32" spans="1:14" x14ac:dyDescent="0.25">
      <c r="A32" t="str">
        <f t="shared" si="0"/>
        <v/>
      </c>
      <c r="M32">
        <f t="shared" ca="1" si="1"/>
        <v>45961</v>
      </c>
      <c r="N32" t="str">
        <f t="shared" ca="1" si="2"/>
        <v>⚠️ Yes</v>
      </c>
    </row>
    <row r="33" spans="1:14" x14ac:dyDescent="0.25">
      <c r="A33" t="str">
        <f t="shared" si="0"/>
        <v/>
      </c>
      <c r="M33">
        <f t="shared" ca="1" si="1"/>
        <v>45961</v>
      </c>
      <c r="N33" t="str">
        <f t="shared" ca="1" si="2"/>
        <v>⚠️ Yes</v>
      </c>
    </row>
    <row r="34" spans="1:14" x14ac:dyDescent="0.25">
      <c r="A34" t="str">
        <f t="shared" ref="A34:A65" si="3">IF(B34&lt;&gt;"","B"&amp;TEXT(ROW(A34)-1,"000"),"")</f>
        <v/>
      </c>
      <c r="M34">
        <f t="shared" ref="M34:M50" ca="1" si="4">IF(K34="",TODAY()-D34,K34-D34)</f>
        <v>45961</v>
      </c>
      <c r="N34" t="str">
        <f t="shared" ref="N34:N50" ca="1" si="5">IF(AND(K34="",J34&lt;TODAY()),"⚠️ Yes","No")</f>
        <v>⚠️ Yes</v>
      </c>
    </row>
    <row r="35" spans="1:14" x14ac:dyDescent="0.25">
      <c r="A35" t="str">
        <f t="shared" si="3"/>
        <v/>
      </c>
      <c r="M35">
        <f t="shared" ca="1" si="4"/>
        <v>45961</v>
      </c>
      <c r="N35" t="str">
        <f t="shared" ca="1" si="5"/>
        <v>⚠️ Yes</v>
      </c>
    </row>
    <row r="36" spans="1:14" x14ac:dyDescent="0.25">
      <c r="A36" t="str">
        <f t="shared" si="3"/>
        <v/>
      </c>
      <c r="M36">
        <f t="shared" ca="1" si="4"/>
        <v>45961</v>
      </c>
      <c r="N36" t="str">
        <f t="shared" ca="1" si="5"/>
        <v>⚠️ Yes</v>
      </c>
    </row>
    <row r="37" spans="1:14" x14ac:dyDescent="0.25">
      <c r="A37" t="str">
        <f t="shared" si="3"/>
        <v/>
      </c>
      <c r="M37">
        <f t="shared" ca="1" si="4"/>
        <v>45961</v>
      </c>
      <c r="N37" t="str">
        <f t="shared" ca="1" si="5"/>
        <v>⚠️ Yes</v>
      </c>
    </row>
    <row r="38" spans="1:14" x14ac:dyDescent="0.25">
      <c r="A38" t="str">
        <f t="shared" si="3"/>
        <v/>
      </c>
      <c r="M38">
        <f t="shared" ca="1" si="4"/>
        <v>45961</v>
      </c>
      <c r="N38" t="str">
        <f t="shared" ca="1" si="5"/>
        <v>⚠️ Yes</v>
      </c>
    </row>
    <row r="39" spans="1:14" x14ac:dyDescent="0.25">
      <c r="A39" t="str">
        <f t="shared" si="3"/>
        <v/>
      </c>
      <c r="M39">
        <f t="shared" ca="1" si="4"/>
        <v>45961</v>
      </c>
      <c r="N39" t="str">
        <f t="shared" ca="1" si="5"/>
        <v>⚠️ Yes</v>
      </c>
    </row>
    <row r="40" spans="1:14" x14ac:dyDescent="0.25">
      <c r="A40" t="str">
        <f t="shared" si="3"/>
        <v/>
      </c>
      <c r="M40">
        <f t="shared" ca="1" si="4"/>
        <v>45961</v>
      </c>
      <c r="N40" t="str">
        <f t="shared" ca="1" si="5"/>
        <v>⚠️ Yes</v>
      </c>
    </row>
    <row r="41" spans="1:14" x14ac:dyDescent="0.25">
      <c r="A41" t="str">
        <f t="shared" si="3"/>
        <v/>
      </c>
      <c r="M41">
        <f t="shared" ca="1" si="4"/>
        <v>45961</v>
      </c>
      <c r="N41" t="str">
        <f t="shared" ca="1" si="5"/>
        <v>⚠️ Yes</v>
      </c>
    </row>
    <row r="42" spans="1:14" x14ac:dyDescent="0.25">
      <c r="A42" t="str">
        <f t="shared" si="3"/>
        <v/>
      </c>
      <c r="M42">
        <f t="shared" ca="1" si="4"/>
        <v>45961</v>
      </c>
      <c r="N42" t="str">
        <f t="shared" ca="1" si="5"/>
        <v>⚠️ Yes</v>
      </c>
    </row>
    <row r="43" spans="1:14" x14ac:dyDescent="0.25">
      <c r="A43" t="str">
        <f t="shared" si="3"/>
        <v/>
      </c>
      <c r="M43">
        <f t="shared" ca="1" si="4"/>
        <v>45961</v>
      </c>
      <c r="N43" t="str">
        <f t="shared" ca="1" si="5"/>
        <v>⚠️ Yes</v>
      </c>
    </row>
    <row r="44" spans="1:14" x14ac:dyDescent="0.25">
      <c r="A44" t="str">
        <f t="shared" si="3"/>
        <v/>
      </c>
      <c r="M44">
        <f t="shared" ca="1" si="4"/>
        <v>45961</v>
      </c>
      <c r="N44" t="str">
        <f t="shared" ca="1" si="5"/>
        <v>⚠️ Yes</v>
      </c>
    </row>
    <row r="45" spans="1:14" x14ac:dyDescent="0.25">
      <c r="A45" t="str">
        <f t="shared" si="3"/>
        <v/>
      </c>
      <c r="M45">
        <f t="shared" ca="1" si="4"/>
        <v>45961</v>
      </c>
      <c r="N45" t="str">
        <f t="shared" ca="1" si="5"/>
        <v>⚠️ Yes</v>
      </c>
    </row>
    <row r="46" spans="1:14" x14ac:dyDescent="0.25">
      <c r="A46" t="str">
        <f t="shared" si="3"/>
        <v/>
      </c>
      <c r="M46">
        <f t="shared" ca="1" si="4"/>
        <v>45961</v>
      </c>
      <c r="N46" t="str">
        <f t="shared" ca="1" si="5"/>
        <v>⚠️ Yes</v>
      </c>
    </row>
    <row r="47" spans="1:14" x14ac:dyDescent="0.25">
      <c r="A47" t="str">
        <f t="shared" si="3"/>
        <v/>
      </c>
      <c r="M47">
        <f t="shared" ca="1" si="4"/>
        <v>45961</v>
      </c>
      <c r="N47" t="str">
        <f t="shared" ca="1" si="5"/>
        <v>⚠️ Yes</v>
      </c>
    </row>
    <row r="48" spans="1:14" x14ac:dyDescent="0.25">
      <c r="A48" t="str">
        <f t="shared" si="3"/>
        <v/>
      </c>
      <c r="M48">
        <f t="shared" ca="1" si="4"/>
        <v>45961</v>
      </c>
      <c r="N48" t="str">
        <f t="shared" ca="1" si="5"/>
        <v>⚠️ Yes</v>
      </c>
    </row>
    <row r="49" spans="1:14" x14ac:dyDescent="0.25">
      <c r="A49" t="str">
        <f t="shared" si="3"/>
        <v/>
      </c>
      <c r="M49">
        <f t="shared" ca="1" si="4"/>
        <v>45961</v>
      </c>
      <c r="N49" t="str">
        <f t="shared" ca="1" si="5"/>
        <v>⚠️ Yes</v>
      </c>
    </row>
    <row r="50" spans="1:14" x14ac:dyDescent="0.25">
      <c r="A50" t="str">
        <f t="shared" si="3"/>
        <v/>
      </c>
      <c r="M50">
        <f t="shared" ca="1" si="4"/>
        <v>45961</v>
      </c>
      <c r="N50" t="str">
        <f t="shared" ca="1" si="5"/>
        <v>⚠️ Yes</v>
      </c>
    </row>
    <row r="51" spans="1:14" x14ac:dyDescent="0.25">
      <c r="A51" t="str">
        <f t="shared" si="3"/>
        <v/>
      </c>
    </row>
    <row r="52" spans="1:14" x14ac:dyDescent="0.25">
      <c r="A52" t="str">
        <f t="shared" si="3"/>
        <v/>
      </c>
    </row>
    <row r="53" spans="1:14" x14ac:dyDescent="0.25">
      <c r="A53" t="str">
        <f t="shared" si="3"/>
        <v/>
      </c>
    </row>
    <row r="54" spans="1:14" x14ac:dyDescent="0.25">
      <c r="A54" t="str">
        <f t="shared" si="3"/>
        <v/>
      </c>
    </row>
    <row r="55" spans="1:14" x14ac:dyDescent="0.25">
      <c r="A55" t="str">
        <f t="shared" si="3"/>
        <v/>
      </c>
    </row>
    <row r="56" spans="1:14" x14ac:dyDescent="0.25">
      <c r="A56" t="str">
        <f t="shared" si="3"/>
        <v/>
      </c>
    </row>
    <row r="57" spans="1:14" x14ac:dyDescent="0.25">
      <c r="A57" t="str">
        <f t="shared" si="3"/>
        <v/>
      </c>
    </row>
    <row r="58" spans="1:14" x14ac:dyDescent="0.25">
      <c r="A58" t="str">
        <f t="shared" si="3"/>
        <v/>
      </c>
    </row>
    <row r="59" spans="1:14" x14ac:dyDescent="0.25">
      <c r="A59" t="str">
        <f t="shared" si="3"/>
        <v/>
      </c>
    </row>
    <row r="60" spans="1:14" x14ac:dyDescent="0.25">
      <c r="A60" t="str">
        <f t="shared" si="3"/>
        <v/>
      </c>
    </row>
    <row r="61" spans="1:14" x14ac:dyDescent="0.25">
      <c r="A61" t="str">
        <f t="shared" si="3"/>
        <v/>
      </c>
    </row>
    <row r="62" spans="1:14" x14ac:dyDescent="0.25">
      <c r="A62" t="str">
        <f t="shared" si="3"/>
        <v/>
      </c>
    </row>
    <row r="63" spans="1:14" x14ac:dyDescent="0.25">
      <c r="A63" t="str">
        <f t="shared" si="3"/>
        <v/>
      </c>
    </row>
    <row r="64" spans="1:14" x14ac:dyDescent="0.25">
      <c r="A64" t="str">
        <f t="shared" si="3"/>
        <v/>
      </c>
    </row>
    <row r="65" spans="1:1" x14ac:dyDescent="0.25">
      <c r="A65" t="str">
        <f t="shared" si="3"/>
        <v/>
      </c>
    </row>
    <row r="66" spans="1:1" x14ac:dyDescent="0.25">
      <c r="A66" t="str">
        <f t="shared" ref="A66:A97" si="6">IF(B66&lt;&gt;"","B"&amp;TEXT(ROW(A66)-1,"000"),"")</f>
        <v/>
      </c>
    </row>
    <row r="67" spans="1:1" x14ac:dyDescent="0.25">
      <c r="A67" t="str">
        <f t="shared" si="6"/>
        <v/>
      </c>
    </row>
    <row r="68" spans="1:1" x14ac:dyDescent="0.25">
      <c r="A68" t="str">
        <f t="shared" si="6"/>
        <v/>
      </c>
    </row>
    <row r="69" spans="1:1" x14ac:dyDescent="0.25">
      <c r="A69" t="str">
        <f t="shared" si="6"/>
        <v/>
      </c>
    </row>
    <row r="70" spans="1:1" x14ac:dyDescent="0.25">
      <c r="A70" t="str">
        <f t="shared" si="6"/>
        <v/>
      </c>
    </row>
    <row r="71" spans="1:1" x14ac:dyDescent="0.25">
      <c r="A71" t="str">
        <f t="shared" si="6"/>
        <v/>
      </c>
    </row>
    <row r="72" spans="1:1" x14ac:dyDescent="0.25">
      <c r="A72" t="str">
        <f t="shared" si="6"/>
        <v/>
      </c>
    </row>
    <row r="73" spans="1:1" x14ac:dyDescent="0.25">
      <c r="A73" t="str">
        <f t="shared" si="6"/>
        <v/>
      </c>
    </row>
    <row r="74" spans="1:1" x14ac:dyDescent="0.25">
      <c r="A74" t="str">
        <f t="shared" si="6"/>
        <v/>
      </c>
    </row>
    <row r="75" spans="1:1" x14ac:dyDescent="0.25">
      <c r="A75" t="str">
        <f t="shared" si="6"/>
        <v/>
      </c>
    </row>
    <row r="76" spans="1:1" x14ac:dyDescent="0.25">
      <c r="A76" t="str">
        <f t="shared" si="6"/>
        <v/>
      </c>
    </row>
    <row r="77" spans="1:1" x14ac:dyDescent="0.25">
      <c r="A77" t="str">
        <f t="shared" si="6"/>
        <v/>
      </c>
    </row>
    <row r="78" spans="1:1" x14ac:dyDescent="0.25">
      <c r="A78" t="str">
        <f t="shared" si="6"/>
        <v/>
      </c>
    </row>
    <row r="79" spans="1:1" x14ac:dyDescent="0.25">
      <c r="A79" t="str">
        <f t="shared" si="6"/>
        <v/>
      </c>
    </row>
    <row r="80" spans="1:1" x14ac:dyDescent="0.25">
      <c r="A80" t="str">
        <f t="shared" si="6"/>
        <v/>
      </c>
    </row>
    <row r="81" spans="1:1" x14ac:dyDescent="0.25">
      <c r="A81" t="str">
        <f t="shared" si="6"/>
        <v/>
      </c>
    </row>
    <row r="82" spans="1:1" x14ac:dyDescent="0.25">
      <c r="A82" t="str">
        <f t="shared" si="6"/>
        <v/>
      </c>
    </row>
    <row r="83" spans="1:1" x14ac:dyDescent="0.25">
      <c r="A83" t="str">
        <f t="shared" si="6"/>
        <v/>
      </c>
    </row>
    <row r="84" spans="1:1" x14ac:dyDescent="0.25">
      <c r="A84" t="str">
        <f t="shared" si="6"/>
        <v/>
      </c>
    </row>
    <row r="85" spans="1:1" x14ac:dyDescent="0.25">
      <c r="A85" t="str">
        <f t="shared" si="6"/>
        <v/>
      </c>
    </row>
    <row r="86" spans="1:1" x14ac:dyDescent="0.25">
      <c r="A86" t="str">
        <f t="shared" si="6"/>
        <v/>
      </c>
    </row>
    <row r="87" spans="1:1" x14ac:dyDescent="0.25">
      <c r="A87" t="str">
        <f t="shared" si="6"/>
        <v/>
      </c>
    </row>
    <row r="88" spans="1:1" x14ac:dyDescent="0.25">
      <c r="A88" t="str">
        <f t="shared" si="6"/>
        <v/>
      </c>
    </row>
    <row r="89" spans="1:1" x14ac:dyDescent="0.25">
      <c r="A89" t="str">
        <f t="shared" si="6"/>
        <v/>
      </c>
    </row>
    <row r="90" spans="1:1" x14ac:dyDescent="0.25">
      <c r="A90" t="str">
        <f t="shared" si="6"/>
        <v/>
      </c>
    </row>
    <row r="91" spans="1:1" x14ac:dyDescent="0.25">
      <c r="A91" t="str">
        <f t="shared" si="6"/>
        <v/>
      </c>
    </row>
    <row r="92" spans="1:1" x14ac:dyDescent="0.25">
      <c r="A92" t="str">
        <f t="shared" si="6"/>
        <v/>
      </c>
    </row>
    <row r="93" spans="1:1" x14ac:dyDescent="0.25">
      <c r="A93" t="str">
        <f t="shared" si="6"/>
        <v/>
      </c>
    </row>
    <row r="94" spans="1:1" x14ac:dyDescent="0.25">
      <c r="A94" t="str">
        <f t="shared" si="6"/>
        <v/>
      </c>
    </row>
    <row r="95" spans="1:1" x14ac:dyDescent="0.25">
      <c r="A95" t="str">
        <f t="shared" si="6"/>
        <v/>
      </c>
    </row>
    <row r="96" spans="1:1" x14ac:dyDescent="0.25">
      <c r="A96" t="str">
        <f t="shared" si="6"/>
        <v/>
      </c>
    </row>
    <row r="97" spans="1:1" x14ac:dyDescent="0.25">
      <c r="A97" t="str">
        <f t="shared" si="6"/>
        <v/>
      </c>
    </row>
    <row r="98" spans="1:1" x14ac:dyDescent="0.25">
      <c r="A98" t="str">
        <f t="shared" ref="A98:A129" si="7">IF(B98&lt;&gt;"","B"&amp;TEXT(ROW(A98)-1,"000"),"")</f>
        <v/>
      </c>
    </row>
    <row r="99" spans="1:1" x14ac:dyDescent="0.25">
      <c r="A99" t="str">
        <f t="shared" si="7"/>
        <v/>
      </c>
    </row>
    <row r="100" spans="1:1" x14ac:dyDescent="0.25">
      <c r="A100" t="str">
        <f t="shared" si="7"/>
        <v/>
      </c>
    </row>
    <row r="101" spans="1:1" x14ac:dyDescent="0.25">
      <c r="A101" t="str">
        <f t="shared" si="7"/>
        <v/>
      </c>
    </row>
    <row r="102" spans="1:1" x14ac:dyDescent="0.25">
      <c r="A102" t="str">
        <f t="shared" si="7"/>
        <v/>
      </c>
    </row>
    <row r="103" spans="1:1" x14ac:dyDescent="0.25">
      <c r="A103" t="str">
        <f t="shared" si="7"/>
        <v/>
      </c>
    </row>
    <row r="104" spans="1:1" x14ac:dyDescent="0.25">
      <c r="A104" t="str">
        <f t="shared" si="7"/>
        <v/>
      </c>
    </row>
    <row r="105" spans="1:1" x14ac:dyDescent="0.25">
      <c r="A105" t="str">
        <f t="shared" si="7"/>
        <v/>
      </c>
    </row>
    <row r="106" spans="1:1" x14ac:dyDescent="0.25">
      <c r="A106" t="str">
        <f t="shared" si="7"/>
        <v/>
      </c>
    </row>
    <row r="107" spans="1:1" x14ac:dyDescent="0.25">
      <c r="A107" t="str">
        <f t="shared" si="7"/>
        <v/>
      </c>
    </row>
    <row r="108" spans="1:1" x14ac:dyDescent="0.25">
      <c r="A108" t="str">
        <f t="shared" si="7"/>
        <v/>
      </c>
    </row>
    <row r="109" spans="1:1" x14ac:dyDescent="0.25">
      <c r="A109" t="str">
        <f t="shared" si="7"/>
        <v/>
      </c>
    </row>
    <row r="110" spans="1:1" x14ac:dyDescent="0.25">
      <c r="A110" t="str">
        <f t="shared" si="7"/>
        <v/>
      </c>
    </row>
    <row r="111" spans="1:1" x14ac:dyDescent="0.25">
      <c r="A111" t="str">
        <f t="shared" si="7"/>
        <v/>
      </c>
    </row>
    <row r="112" spans="1:1" x14ac:dyDescent="0.25">
      <c r="A112" t="str">
        <f t="shared" si="7"/>
        <v/>
      </c>
    </row>
    <row r="113" spans="1:1" x14ac:dyDescent="0.25">
      <c r="A113" t="str">
        <f t="shared" si="7"/>
        <v/>
      </c>
    </row>
    <row r="114" spans="1:1" x14ac:dyDescent="0.25">
      <c r="A114" t="str">
        <f t="shared" si="7"/>
        <v/>
      </c>
    </row>
    <row r="115" spans="1:1" x14ac:dyDescent="0.25">
      <c r="A115" t="str">
        <f t="shared" si="7"/>
        <v/>
      </c>
    </row>
    <row r="116" spans="1:1" x14ac:dyDescent="0.25">
      <c r="A116" t="str">
        <f t="shared" si="7"/>
        <v/>
      </c>
    </row>
    <row r="117" spans="1:1" x14ac:dyDescent="0.25">
      <c r="A117" t="str">
        <f t="shared" si="7"/>
        <v/>
      </c>
    </row>
    <row r="118" spans="1:1" x14ac:dyDescent="0.25">
      <c r="A118" t="str">
        <f t="shared" si="7"/>
        <v/>
      </c>
    </row>
    <row r="119" spans="1:1" x14ac:dyDescent="0.25">
      <c r="A119" t="str">
        <f t="shared" si="7"/>
        <v/>
      </c>
    </row>
    <row r="120" spans="1:1" x14ac:dyDescent="0.25">
      <c r="A120" t="str">
        <f t="shared" si="7"/>
        <v/>
      </c>
    </row>
    <row r="121" spans="1:1" x14ac:dyDescent="0.25">
      <c r="A121" t="str">
        <f t="shared" si="7"/>
        <v/>
      </c>
    </row>
    <row r="122" spans="1:1" x14ac:dyDescent="0.25">
      <c r="A122" t="str">
        <f t="shared" si="7"/>
        <v/>
      </c>
    </row>
    <row r="123" spans="1:1" x14ac:dyDescent="0.25">
      <c r="A123" t="str">
        <f t="shared" si="7"/>
        <v/>
      </c>
    </row>
    <row r="124" spans="1:1" x14ac:dyDescent="0.25">
      <c r="A124" t="str">
        <f t="shared" si="7"/>
        <v/>
      </c>
    </row>
    <row r="125" spans="1:1" x14ac:dyDescent="0.25">
      <c r="A125" t="str">
        <f t="shared" si="7"/>
        <v/>
      </c>
    </row>
    <row r="126" spans="1:1" x14ac:dyDescent="0.25">
      <c r="A126" t="str">
        <f t="shared" si="7"/>
        <v/>
      </c>
    </row>
    <row r="127" spans="1:1" x14ac:dyDescent="0.25">
      <c r="A127" t="str">
        <f t="shared" si="7"/>
        <v/>
      </c>
    </row>
    <row r="128" spans="1:1" x14ac:dyDescent="0.25">
      <c r="A128" t="str">
        <f t="shared" si="7"/>
        <v/>
      </c>
    </row>
    <row r="129" spans="1:1" x14ac:dyDescent="0.25">
      <c r="A129" t="str">
        <f t="shared" si="7"/>
        <v/>
      </c>
    </row>
    <row r="130" spans="1:1" x14ac:dyDescent="0.25">
      <c r="A130" t="str">
        <f t="shared" ref="A130:A161" si="8">IF(B130&lt;&gt;"","B"&amp;TEXT(ROW(A130)-1,"000"),"")</f>
        <v/>
      </c>
    </row>
    <row r="131" spans="1:1" x14ac:dyDescent="0.25">
      <c r="A131" t="str">
        <f t="shared" si="8"/>
        <v/>
      </c>
    </row>
    <row r="132" spans="1:1" x14ac:dyDescent="0.25">
      <c r="A132" t="str">
        <f t="shared" si="8"/>
        <v/>
      </c>
    </row>
    <row r="133" spans="1:1" x14ac:dyDescent="0.25">
      <c r="A133" t="str">
        <f t="shared" si="8"/>
        <v/>
      </c>
    </row>
    <row r="134" spans="1:1" x14ac:dyDescent="0.25">
      <c r="A134" t="str">
        <f t="shared" si="8"/>
        <v/>
      </c>
    </row>
    <row r="135" spans="1:1" x14ac:dyDescent="0.25">
      <c r="A135" t="str">
        <f t="shared" si="8"/>
        <v/>
      </c>
    </row>
    <row r="136" spans="1:1" x14ac:dyDescent="0.25">
      <c r="A136" t="str">
        <f t="shared" si="8"/>
        <v/>
      </c>
    </row>
    <row r="137" spans="1:1" x14ac:dyDescent="0.25">
      <c r="A137" t="str">
        <f t="shared" si="8"/>
        <v/>
      </c>
    </row>
    <row r="138" spans="1:1" x14ac:dyDescent="0.25">
      <c r="A138" t="str">
        <f t="shared" si="8"/>
        <v/>
      </c>
    </row>
    <row r="139" spans="1:1" x14ac:dyDescent="0.25">
      <c r="A139" t="str">
        <f t="shared" si="8"/>
        <v/>
      </c>
    </row>
    <row r="140" spans="1:1" x14ac:dyDescent="0.25">
      <c r="A140" t="str">
        <f t="shared" si="8"/>
        <v/>
      </c>
    </row>
    <row r="141" spans="1:1" x14ac:dyDescent="0.25">
      <c r="A141" t="str">
        <f t="shared" si="8"/>
        <v/>
      </c>
    </row>
    <row r="142" spans="1:1" x14ac:dyDescent="0.25">
      <c r="A142" t="str">
        <f t="shared" si="8"/>
        <v/>
      </c>
    </row>
    <row r="143" spans="1:1" x14ac:dyDescent="0.25">
      <c r="A143" t="str">
        <f t="shared" si="8"/>
        <v/>
      </c>
    </row>
    <row r="144" spans="1:1" x14ac:dyDescent="0.25">
      <c r="A144" t="str">
        <f t="shared" si="8"/>
        <v/>
      </c>
    </row>
    <row r="145" spans="1:1" x14ac:dyDescent="0.25">
      <c r="A145" t="str">
        <f t="shared" si="8"/>
        <v/>
      </c>
    </row>
    <row r="146" spans="1:1" x14ac:dyDescent="0.25">
      <c r="A146" t="str">
        <f t="shared" si="8"/>
        <v/>
      </c>
    </row>
    <row r="147" spans="1:1" x14ac:dyDescent="0.25">
      <c r="A147" t="str">
        <f t="shared" si="8"/>
        <v/>
      </c>
    </row>
    <row r="148" spans="1:1" x14ac:dyDescent="0.25">
      <c r="A148" t="str">
        <f t="shared" si="8"/>
        <v/>
      </c>
    </row>
    <row r="149" spans="1:1" x14ac:dyDescent="0.25">
      <c r="A149" t="str">
        <f t="shared" si="8"/>
        <v/>
      </c>
    </row>
    <row r="150" spans="1:1" x14ac:dyDescent="0.25">
      <c r="A150" t="str">
        <f t="shared" si="8"/>
        <v/>
      </c>
    </row>
    <row r="151" spans="1:1" x14ac:dyDescent="0.25">
      <c r="A151" t="str">
        <f t="shared" si="8"/>
        <v/>
      </c>
    </row>
    <row r="152" spans="1:1" x14ac:dyDescent="0.25">
      <c r="A152" t="str">
        <f t="shared" si="8"/>
        <v/>
      </c>
    </row>
    <row r="153" spans="1:1" x14ac:dyDescent="0.25">
      <c r="A153" t="str">
        <f t="shared" si="8"/>
        <v/>
      </c>
    </row>
    <row r="154" spans="1:1" x14ac:dyDescent="0.25">
      <c r="A154" t="str">
        <f t="shared" si="8"/>
        <v/>
      </c>
    </row>
    <row r="155" spans="1:1" x14ac:dyDescent="0.25">
      <c r="A155" t="str">
        <f t="shared" si="8"/>
        <v/>
      </c>
    </row>
    <row r="156" spans="1:1" x14ac:dyDescent="0.25">
      <c r="A156" t="str">
        <f t="shared" si="8"/>
        <v/>
      </c>
    </row>
    <row r="157" spans="1:1" x14ac:dyDescent="0.25">
      <c r="A157" t="str">
        <f t="shared" si="8"/>
        <v/>
      </c>
    </row>
    <row r="158" spans="1:1" x14ac:dyDescent="0.25">
      <c r="A158" t="str">
        <f t="shared" si="8"/>
        <v/>
      </c>
    </row>
    <row r="159" spans="1:1" x14ac:dyDescent="0.25">
      <c r="A159" t="str">
        <f t="shared" si="8"/>
        <v/>
      </c>
    </row>
    <row r="160" spans="1:1" x14ac:dyDescent="0.25">
      <c r="A160" t="str">
        <f t="shared" si="8"/>
        <v/>
      </c>
    </row>
    <row r="161" spans="1:1" x14ac:dyDescent="0.25">
      <c r="A161" t="str">
        <f t="shared" si="8"/>
        <v/>
      </c>
    </row>
    <row r="162" spans="1:1" x14ac:dyDescent="0.25">
      <c r="A162" t="str">
        <f t="shared" ref="A162:A193" si="9">IF(B162&lt;&gt;"","B"&amp;TEXT(ROW(A162)-1,"000"),"")</f>
        <v/>
      </c>
    </row>
    <row r="163" spans="1:1" x14ac:dyDescent="0.25">
      <c r="A163" t="str">
        <f t="shared" si="9"/>
        <v/>
      </c>
    </row>
    <row r="164" spans="1:1" x14ac:dyDescent="0.25">
      <c r="A164" t="str">
        <f t="shared" si="9"/>
        <v/>
      </c>
    </row>
    <row r="165" spans="1:1" x14ac:dyDescent="0.25">
      <c r="A165" t="str">
        <f t="shared" si="9"/>
        <v/>
      </c>
    </row>
    <row r="166" spans="1:1" x14ac:dyDescent="0.25">
      <c r="A166" t="str">
        <f t="shared" si="9"/>
        <v/>
      </c>
    </row>
    <row r="167" spans="1:1" x14ac:dyDescent="0.25">
      <c r="A167" t="str">
        <f t="shared" si="9"/>
        <v/>
      </c>
    </row>
    <row r="168" spans="1:1" x14ac:dyDescent="0.25">
      <c r="A168" t="str">
        <f t="shared" si="9"/>
        <v/>
      </c>
    </row>
    <row r="169" spans="1:1" x14ac:dyDescent="0.25">
      <c r="A169" t="str">
        <f t="shared" si="9"/>
        <v/>
      </c>
    </row>
    <row r="170" spans="1:1" x14ac:dyDescent="0.25">
      <c r="A170" t="str">
        <f t="shared" si="9"/>
        <v/>
      </c>
    </row>
    <row r="171" spans="1:1" x14ac:dyDescent="0.25">
      <c r="A171" t="str">
        <f t="shared" si="9"/>
        <v/>
      </c>
    </row>
    <row r="172" spans="1:1" x14ac:dyDescent="0.25">
      <c r="A172" t="str">
        <f t="shared" si="9"/>
        <v/>
      </c>
    </row>
    <row r="173" spans="1:1" x14ac:dyDescent="0.25">
      <c r="A173" t="str">
        <f t="shared" si="9"/>
        <v/>
      </c>
    </row>
    <row r="174" spans="1:1" x14ac:dyDescent="0.25">
      <c r="A174" t="str">
        <f t="shared" si="9"/>
        <v/>
      </c>
    </row>
    <row r="175" spans="1:1" x14ac:dyDescent="0.25">
      <c r="A175" t="str">
        <f t="shared" si="9"/>
        <v/>
      </c>
    </row>
    <row r="176" spans="1:1" x14ac:dyDescent="0.25">
      <c r="A176" t="str">
        <f t="shared" si="9"/>
        <v/>
      </c>
    </row>
    <row r="177" spans="1:1" x14ac:dyDescent="0.25">
      <c r="A177" t="str">
        <f t="shared" si="9"/>
        <v/>
      </c>
    </row>
    <row r="178" spans="1:1" x14ac:dyDescent="0.25">
      <c r="A178" t="str">
        <f t="shared" si="9"/>
        <v/>
      </c>
    </row>
    <row r="179" spans="1:1" x14ac:dyDescent="0.25">
      <c r="A179" t="str">
        <f t="shared" si="9"/>
        <v/>
      </c>
    </row>
    <row r="180" spans="1:1" x14ac:dyDescent="0.25">
      <c r="A180" t="str">
        <f t="shared" si="9"/>
        <v/>
      </c>
    </row>
    <row r="181" spans="1:1" x14ac:dyDescent="0.25">
      <c r="A181" t="str">
        <f t="shared" si="9"/>
        <v/>
      </c>
    </row>
    <row r="182" spans="1:1" x14ac:dyDescent="0.25">
      <c r="A182" t="str">
        <f t="shared" si="9"/>
        <v/>
      </c>
    </row>
    <row r="183" spans="1:1" x14ac:dyDescent="0.25">
      <c r="A183" t="str">
        <f t="shared" si="9"/>
        <v/>
      </c>
    </row>
    <row r="184" spans="1:1" x14ac:dyDescent="0.25">
      <c r="A184" t="str">
        <f t="shared" si="9"/>
        <v/>
      </c>
    </row>
    <row r="185" spans="1:1" x14ac:dyDescent="0.25">
      <c r="A185" t="str">
        <f t="shared" si="9"/>
        <v/>
      </c>
    </row>
    <row r="186" spans="1:1" x14ac:dyDescent="0.25">
      <c r="A186" t="str">
        <f t="shared" si="9"/>
        <v/>
      </c>
    </row>
    <row r="187" spans="1:1" x14ac:dyDescent="0.25">
      <c r="A187" t="str">
        <f t="shared" si="9"/>
        <v/>
      </c>
    </row>
    <row r="188" spans="1:1" x14ac:dyDescent="0.25">
      <c r="A188" t="str">
        <f t="shared" si="9"/>
        <v/>
      </c>
    </row>
    <row r="189" spans="1:1" x14ac:dyDescent="0.25">
      <c r="A189" t="str">
        <f t="shared" si="9"/>
        <v/>
      </c>
    </row>
    <row r="190" spans="1:1" x14ac:dyDescent="0.25">
      <c r="A190" t="str">
        <f t="shared" si="9"/>
        <v/>
      </c>
    </row>
    <row r="191" spans="1:1" x14ac:dyDescent="0.25">
      <c r="A191" t="str">
        <f t="shared" si="9"/>
        <v/>
      </c>
    </row>
    <row r="192" spans="1:1" x14ac:dyDescent="0.25">
      <c r="A192" t="str">
        <f t="shared" si="9"/>
        <v/>
      </c>
    </row>
    <row r="193" spans="1:1" x14ac:dyDescent="0.25">
      <c r="A193" t="str">
        <f t="shared" si="9"/>
        <v/>
      </c>
    </row>
    <row r="194" spans="1:1" x14ac:dyDescent="0.25">
      <c r="A194" t="str">
        <f t="shared" ref="A194:A225" si="10">IF(B194&lt;&gt;"","B"&amp;TEXT(ROW(A194)-1,"000"),"")</f>
        <v/>
      </c>
    </row>
    <row r="195" spans="1:1" x14ac:dyDescent="0.25">
      <c r="A195" t="str">
        <f t="shared" si="10"/>
        <v/>
      </c>
    </row>
    <row r="196" spans="1:1" x14ac:dyDescent="0.25">
      <c r="A196" t="str">
        <f t="shared" si="10"/>
        <v/>
      </c>
    </row>
    <row r="197" spans="1:1" x14ac:dyDescent="0.25">
      <c r="A197" t="str">
        <f t="shared" si="10"/>
        <v/>
      </c>
    </row>
    <row r="198" spans="1:1" x14ac:dyDescent="0.25">
      <c r="A198" t="str">
        <f t="shared" si="10"/>
        <v/>
      </c>
    </row>
    <row r="199" spans="1:1" x14ac:dyDescent="0.25">
      <c r="A199" t="str">
        <f t="shared" si="10"/>
        <v/>
      </c>
    </row>
    <row r="200" spans="1:1" x14ac:dyDescent="0.25">
      <c r="A200" t="str">
        <f t="shared" si="10"/>
        <v/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 Summary</vt:lpstr>
      <vt:lpstr>Detailed Tracker</vt:lpstr>
      <vt:lpstr>Milestones</vt:lpstr>
      <vt:lpstr>Change Log</vt:lpstr>
      <vt:lpstr>Next SprintPriority,Task,Owner,</vt:lpstr>
      <vt:lpstr>Auto Summary</vt:lpstr>
      <vt:lpstr>Bug_Issue Tracker</vt:lpstr>
      <vt:lpstr>Bug_Issue_Tracker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2025-10-31T06:50:26Z</dcterms:created>
  <dcterms:modified xsi:type="dcterms:W3CDTF">2025-10-31T09:25:24Z</dcterms:modified>
</cp:coreProperties>
</file>