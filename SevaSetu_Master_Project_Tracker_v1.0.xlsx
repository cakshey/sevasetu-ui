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va-setu-ui\seva-setu-ui\"/>
    </mc:Choice>
  </mc:AlternateContent>
  <xr:revisionPtr revIDLastSave="0" documentId="13_ncr:1_{14C891DB-4840-4208-BA6D-AEFA93EA9E13}" xr6:coauthVersionLast="47" xr6:coauthVersionMax="47" xr10:uidLastSave="{00000000-0000-0000-0000-000000000000}"/>
  <bookViews>
    <workbookView xWindow="-120" yWindow="-120" windowWidth="29040" windowHeight="15720" xr2:uid="{FF75A44E-B0E6-4EE7-BF98-167D02592E2E}"/>
  </bookViews>
  <sheets>
    <sheet name="Dashboard Summary" sheetId="1" r:id="rId1"/>
    <sheet name="Detailed Tracker" sheetId="2" r:id="rId2"/>
    <sheet name="Milestones" sheetId="3" r:id="rId3"/>
    <sheet name="Change Log" sheetId="4" r:id="rId4"/>
    <sheet name="Next SprintPriority,Task,Owner," sheetId="5" r:id="rId5"/>
    <sheet name="Auto Summary" sheetId="6" r:id="rId6"/>
    <sheet name="Bug_Issue Track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" l="1"/>
  <c r="C8" i="1"/>
  <c r="D8" i="1"/>
</calcChain>
</file>

<file path=xl/sharedStrings.xml><?xml version="1.0" encoding="utf-8"?>
<sst xmlns="http://schemas.openxmlformats.org/spreadsheetml/2006/main" count="81" uniqueCount="73">
  <si>
    <t>ID,Module,Task,Description,Owner,Start Date,Target Date,% Complete,Status,Notes</t>
  </si>
  <si>
    <t>C1,Customer,Home Page,Service Discovery UI,Akhsey,2025-10-28,2025-10-29,100,Done,Verified</t>
  </si>
  <si>
    <t>C3,Customer,Booking Flow,Select + Schedule Service,Akhsey,2025-11-02,2025-11-03,0,Planned,Design Pending</t>
  </si>
  <si>
    <t>SP1,Provider,Registration / KYC,Provider Sign-Up + Docs,Akhsey,2025-11-03,2025-11-04,0,Planned,</t>
  </si>
  <si>
    <t>A4,Admin / Ops,Dashboard Reports,Graphs + Data for Admin,Akhsey,2025-11-04,2025-11-05,50,Partial,Firestore Linkage</t>
  </si>
  <si>
    <t>COST1,Costing,Dynamic Pricing,Variable Pricing Per City,Akhsey,2025-11-05,2025-11-06,0,Planned,</t>
  </si>
  <si>
    <t>R2,Reports &amp; Analytics,Provider Ratings,Ratings Summary Per Provider,Akhsey,2025-11-06,2025-11-07,0,Planned,</t>
  </si>
  <si>
    <t>Milestone,Description,Target Date,Status,Dependencies</t>
  </si>
  <si>
    <t>MVP Alpha Launch,OTP + Waitlist Live,2025-10-30,Done,Firebase Auth</t>
  </si>
  <si>
    <t>Feedback Flow,Rating + Thank You Page,2025-10-31,Done,Feedback DB</t>
  </si>
  <si>
    <t>reCAPTCHA Invisible,Hide Visible Widget,2025-10-31,In Progress,LaunchingSoonWidget</t>
  </si>
  <si>
    <t>GitHub + Vercel Sync,Connect Repos &amp; CI,2025-10-31,In Progress,GitHub</t>
  </si>
  <si>
    <t>Date,Change,Description,By,Status</t>
  </si>
  <si>
    <t>2025-10-30,Firebase Hosting,Production Deployed,Akhsey,Done</t>
  </si>
  <si>
    <t>2025-10-31,Feedback UI,Thank-You Animation Added,Akhsey,Done</t>
  </si>
  <si>
    <t>2025-10-31,OTP Widget,Production Success,Akhsey,Done</t>
  </si>
  <si>
    <t>2025-11-01,Tracker Setup,Master Tracker Created,Akhsey,Planned</t>
  </si>
  <si>
    <t>Priority,Task,Owner,Planned Date,Status</t>
  </si>
  <si>
    <t>High,reCAPTCHA Invisible Fix,Akhsey,2025-11-01,Planned</t>
  </si>
  <si>
    <t>High,GitHub &amp; Vercel Sync,Akhsey,2025-11-01,Planned</t>
  </si>
  <si>
    <t>Medium,Booking Flow UI,Akhsey,2025-11-02,Planned</t>
  </si>
  <si>
    <t>Medium,Provider Registration,Akhsey,2025-11-03,Planned</t>
  </si>
  <si>
    <t>Medium,Costing Model Integration,Akhsey,2025-11-04,Planned</t>
  </si>
  <si>
    <t>Metric,Value</t>
  </si>
  <si>
    <t>Total Tasks,=SUM('Dashboard Summary'!B2:B7)</t>
  </si>
  <si>
    <t>Completed,=SUM('Dashboard Summary'!C2:C7)</t>
  </si>
  <si>
    <t>Overall %,=IF(B1=0,0,ROUND(B2/B1*100,0))</t>
  </si>
  <si>
    <t>Active Modules,=COUNTA('Dashboard Summary'!A2:A7)</t>
  </si>
  <si>
    <t>Next Milestone,=INDEX('Dashboard Summary'!G2:G7,MATCH(MIN('Dashboard Summary'!C2:C7),'Dashboard Summary'!C2:C7,0))</t>
  </si>
  <si>
    <t>ID,Module,Reported By,Date Reported,Severity,Issue Title,Description,Status,Owner,Target Fix Date,Date Resolved,Resolution Notes,Days Open,Overdue</t>
  </si>
  <si>
    <t>B001,Customer,Akhsey,2025-10-31,High,OTP Verification Loop,"OTP not verifying properly in dev environment","Resolved",Dev Team,2025-10-31,2025-10-31,"ReCaptcha reinit fixed",=IF(K2="",TODAY()-D2,K2-D2),=IF(AND(K2="",J2&lt;TODAY()),"⚠️ Yes","No")</t>
  </si>
  <si>
    <t>B002,Feedback,Akhsey,2025-10-31,Medium,Feedback Form Alignment,"Fields not aligned after animation update","Resolved",UI Team,2025-10-31,2025-10-31,"CSS grid adjusted",=IF(K3="",TODAY()-D3,K3-D3),=IF(AND(K3="",J3&lt;TODAY()),"⚠️ Yes","No")</t>
  </si>
  <si>
    <t>B003,Admin,Akhsey,2025-11-01,Low,Report Table Pagination,"Admin table shows only 10 rows","Open",Dev Team,2025-11-02,,"Pending pagination logic",=IF(K4="",TODAY()-D4,K4-D4),=IF(AND(K4="",J4&lt;TODAY()),"⚠️ Yes","No")</t>
  </si>
  <si>
    <t>B004,Provider,Akhsey,2025-11-01,High,Provider Registration Crash,"Error on submit after KYC upload","In Progress",Backend,2025-11-02,,"Investigating storage limits",=IF(K5="",TODAY()-D5,K5-D5),=IF(AND(K5="",J5&lt;TODAY()),"⚠️ Yes","No")</t>
  </si>
  <si>
    <t>Module</t>
  </si>
  <si>
    <t>Total Tasks</t>
  </si>
  <si>
    <t>Completed</t>
  </si>
  <si>
    <t>Pending</t>
  </si>
  <si>
    <t>% Complete</t>
  </si>
  <si>
    <t>Status</t>
  </si>
  <si>
    <t>Next Milestone</t>
  </si>
  <si>
    <t>Customer</t>
  </si>
  <si>
    <t>=IF(B2=0</t>
  </si>
  <si>
    <t>ROUND(C2/B2*100</t>
  </si>
  <si>
    <t>0))</t>
  </si>
  <si>
    <t>In Progress</t>
  </si>
  <si>
    <t>Booking Flow UI (Nov 2)</t>
  </si>
  <si>
    <t>Service Provider</t>
  </si>
  <si>
    <t>=IF(B3=0</t>
  </si>
  <si>
    <t>ROUND(C3/B3*100</t>
  </si>
  <si>
    <t>Registration (Nov 3)</t>
  </si>
  <si>
    <t>Admin / Ops</t>
  </si>
  <si>
    <t>=IF(B4=0</t>
  </si>
  <si>
    <t>ROUND(C4/B4*100</t>
  </si>
  <si>
    <t>Good</t>
  </si>
  <si>
    <t>Reports UI (Nov 2)</t>
  </si>
  <si>
    <t>Costing</t>
  </si>
  <si>
    <t>=IF(B5=0</t>
  </si>
  <si>
    <t>ROUND(C5/B5*100</t>
  </si>
  <si>
    <t>Low Progress</t>
  </si>
  <si>
    <t>Pricing Logic (Nov 4)</t>
  </si>
  <si>
    <t>Reports &amp; Analytics</t>
  </si>
  <si>
    <t>=IF(B6=0</t>
  </si>
  <si>
    <t>ROUND(C6/B6*100</t>
  </si>
  <si>
    <t>Analytics (Nov 5)</t>
  </si>
  <si>
    <t>Backend / Infra</t>
  </si>
  <si>
    <t>=IF(B7=0</t>
  </si>
  <si>
    <t>ROUND(C7/B7*100</t>
  </si>
  <si>
    <t>Stable</t>
  </si>
  <si>
    <t>Vercel Integration (Nov 1)</t>
  </si>
  <si>
    <t>TOTAL</t>
  </si>
  <si>
    <t>=IF(B8=0</t>
  </si>
  <si>
    <t>ROUND(C8/B8*100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</si>
</sst>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8082-9ABE-4855-97B5-4F3FBCC6311B}">
  <dimension ref="A1:J8"/>
  <sheetViews>
    <sheetView tabSelected="1" workbookViewId="0"/>
  </sheetViews>
  <sheetFormatPr defaultRowHeight="15" x14ac:dyDescent="0.25"/>
  <cols>
    <col min="1" max="1" width="18.42578125" bestFit="1" customWidth="1"/>
    <col min="9" max="9" width="12.5703125" bestFit="1" customWidth="1"/>
    <col min="10" max="10" width="24.28515625" bestFit="1" customWidth="1"/>
  </cols>
  <sheetData>
    <row r="1" spans="1:10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 spans="1:10" x14ac:dyDescent="0.25">
      <c r="A2" t="s">
        <v>41</v>
      </c>
      <c r="B2">
        <v>10</v>
      </c>
      <c r="C2">
        <v>4</v>
      </c>
      <c r="D2">
        <v>6</v>
      </c>
      <c r="E2" t="s">
        <v>42</v>
      </c>
      <c r="F2">
        <v>0</v>
      </c>
      <c r="G2" t="s">
        <v>43</v>
      </c>
      <c r="H2" t="s">
        <v>44</v>
      </c>
      <c r="I2" t="s">
        <v>45</v>
      </c>
      <c r="J2" t="s">
        <v>46</v>
      </c>
    </row>
    <row r="3" spans="1:10" x14ac:dyDescent="0.25">
      <c r="A3" t="s">
        <v>47</v>
      </c>
      <c r="B3">
        <v>8</v>
      </c>
      <c r="C3">
        <v>3</v>
      </c>
      <c r="D3">
        <v>5</v>
      </c>
      <c r="E3" t="s">
        <v>48</v>
      </c>
      <c r="F3">
        <v>0</v>
      </c>
      <c r="G3" t="s">
        <v>49</v>
      </c>
      <c r="H3" t="s">
        <v>44</v>
      </c>
      <c r="I3" t="s">
        <v>45</v>
      </c>
      <c r="J3" t="s">
        <v>50</v>
      </c>
    </row>
    <row r="4" spans="1:10" x14ac:dyDescent="0.25">
      <c r="A4" t="s">
        <v>51</v>
      </c>
      <c r="B4">
        <v>9</v>
      </c>
      <c r="C4">
        <v>5</v>
      </c>
      <c r="D4">
        <v>4</v>
      </c>
      <c r="E4" t="s">
        <v>52</v>
      </c>
      <c r="F4">
        <v>0</v>
      </c>
      <c r="G4" t="s">
        <v>53</v>
      </c>
      <c r="H4" t="s">
        <v>44</v>
      </c>
      <c r="I4" t="s">
        <v>54</v>
      </c>
      <c r="J4" t="s">
        <v>55</v>
      </c>
    </row>
    <row r="5" spans="1:10" x14ac:dyDescent="0.25">
      <c r="A5" t="s">
        <v>56</v>
      </c>
      <c r="B5">
        <v>6</v>
      </c>
      <c r="C5">
        <v>1</v>
      </c>
      <c r="D5">
        <v>5</v>
      </c>
      <c r="E5" t="s">
        <v>57</v>
      </c>
      <c r="F5">
        <v>0</v>
      </c>
      <c r="G5" t="s">
        <v>58</v>
      </c>
      <c r="H5" t="s">
        <v>44</v>
      </c>
      <c r="I5" t="s">
        <v>59</v>
      </c>
      <c r="J5" t="s">
        <v>60</v>
      </c>
    </row>
    <row r="6" spans="1:10" x14ac:dyDescent="0.25">
      <c r="A6" t="s">
        <v>61</v>
      </c>
      <c r="B6">
        <v>6</v>
      </c>
      <c r="C6">
        <v>1</v>
      </c>
      <c r="D6">
        <v>5</v>
      </c>
      <c r="E6" t="s">
        <v>62</v>
      </c>
      <c r="F6">
        <v>0</v>
      </c>
      <c r="G6" t="s">
        <v>63</v>
      </c>
      <c r="H6" t="s">
        <v>44</v>
      </c>
      <c r="I6" t="s">
        <v>59</v>
      </c>
      <c r="J6" t="s">
        <v>64</v>
      </c>
    </row>
    <row r="7" spans="1:10" x14ac:dyDescent="0.25">
      <c r="A7" t="s">
        <v>65</v>
      </c>
      <c r="B7">
        <v>8</v>
      </c>
      <c r="C7">
        <v>5</v>
      </c>
      <c r="D7">
        <v>3</v>
      </c>
      <c r="E7" t="s">
        <v>66</v>
      </c>
      <c r="F7">
        <v>0</v>
      </c>
      <c r="G7" t="s">
        <v>67</v>
      </c>
      <c r="H7" t="s">
        <v>44</v>
      </c>
      <c r="I7" t="s">
        <v>68</v>
      </c>
      <c r="J7" t="s">
        <v>69</v>
      </c>
    </row>
    <row r="8" spans="1:10" x14ac:dyDescent="0.25">
      <c r="A8" t="s">
        <v>70</v>
      </c>
      <c r="B8">
        <f>SUM(B2:B7)</f>
        <v>47</v>
      </c>
      <c r="C8">
        <f>SUM(C2:C7)</f>
        <v>19</v>
      </c>
      <c r="D8">
        <f>SUM(D2:D7)</f>
        <v>28</v>
      </c>
      <c r="E8" t="s">
        <v>71</v>
      </c>
      <c r="F8">
        <v>0</v>
      </c>
      <c r="G8" t="s">
        <v>72</v>
      </c>
      <c r="H8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88B5-49DE-49A5-BED0-A624930C7031}">
  <dimension ref="A1:A7"/>
  <sheetViews>
    <sheetView workbookViewId="0">
      <selection activeCell="N26" sqref="N2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ED8C-82ED-46D4-BD6E-852B0090DA0E}">
  <dimension ref="A1:A5"/>
  <sheetViews>
    <sheetView workbookViewId="0">
      <selection activeCell="L28" sqref="L28"/>
    </sheetView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A407-9FC7-4FD7-B1B2-E53DEEDE1DBB}">
  <dimension ref="A1:A5"/>
  <sheetViews>
    <sheetView workbookViewId="0">
      <selection activeCell="M26" sqref="M26"/>
    </sheetView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849B-766E-4EF1-BC8D-DD3706F46909}">
  <dimension ref="A1:A6"/>
  <sheetViews>
    <sheetView workbookViewId="0">
      <selection sqref="A1:A6"/>
    </sheetView>
  </sheetViews>
  <sheetFormatPr defaultRowHeight="15" x14ac:dyDescent="0.25"/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A7B3-5B61-4805-95F0-F9ACB0CEB892}">
  <dimension ref="A1:A6"/>
  <sheetViews>
    <sheetView workbookViewId="0">
      <selection activeCell="M26" sqref="M26"/>
    </sheetView>
  </sheetViews>
  <sheetFormatPr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979D-B279-419A-BF6C-8C17B74F3AC5}">
  <dimension ref="A1:A5"/>
  <sheetViews>
    <sheetView workbookViewId="0">
      <selection activeCell="P31" sqref="P31"/>
    </sheetView>
  </sheetViews>
  <sheetFormatPr defaultRowHeight="15" x14ac:dyDescent="0.25"/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 Summary</vt:lpstr>
      <vt:lpstr>Detailed Tracker</vt:lpstr>
      <vt:lpstr>Milestones</vt:lpstr>
      <vt:lpstr>Change Log</vt:lpstr>
      <vt:lpstr>Next SprintPriority,Task,Owner,</vt:lpstr>
      <vt:lpstr>Auto Summary</vt:lpstr>
      <vt:lpstr>Bug_Issue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Akshey chaubey</dc:creator>
  <cp:lastModifiedBy>Akshey chaubey</cp:lastModifiedBy>
  <dcterms:created xsi:type="dcterms:W3CDTF">2025-10-31T06:50:26Z</dcterms:created>
  <dcterms:modified xsi:type="dcterms:W3CDTF">2025-10-31T07:20:39Z</dcterms:modified>
</cp:coreProperties>
</file>